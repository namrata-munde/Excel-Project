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Yugadhi\OneDrive\Desktop\coding ninjas\Excel\Projects\Ms Excel Projects\CPI inflation\"/>
    </mc:Choice>
  </mc:AlternateContent>
  <xr:revisionPtr revIDLastSave="0" documentId="13_ncr:1_{85E6C1C2-7582-4C2F-BCF9-732E0FA10797}" xr6:coauthVersionLast="47" xr6:coauthVersionMax="47" xr10:uidLastSave="{00000000-0000-0000-0000-000000000000}"/>
  <bookViews>
    <workbookView xWindow="-110" yWindow="-110" windowWidth="25820" windowHeight="15500" tabRatio="601" firstSheet="1" activeTab="2" xr2:uid="{00000000-000D-0000-FFFF-FFFF00000000}"/>
  </bookViews>
  <sheets>
    <sheet name="All_India_Index_Upto_April23_RA" sheetId="2" state="hidden" r:id="rId1"/>
    <sheet name="Raw Data" sheetId="1" r:id="rId2"/>
    <sheet name="Notes" sheetId="4" r:id="rId3"/>
    <sheet name="PS1" sheetId="3" r:id="rId4"/>
    <sheet name="PS2" sheetId="6" r:id="rId5"/>
    <sheet name="PS3" sheetId="7" r:id="rId6"/>
    <sheet name="PS4" sheetId="8" r:id="rId7"/>
    <sheet name="PS5" sheetId="9" r:id="rId8"/>
    <sheet name="PS5.2" sheetId="10" r:id="rId9"/>
  </sheets>
  <definedNames>
    <definedName name="_xlnm._FilterDatabase" localSheetId="1" hidden="1">'Raw Data'!$A$1:$AD$373</definedName>
    <definedName name="ExternalData_1" localSheetId="0" hidden="1">All_India_Index_Upto_April23_RA!$A$1:$AD$373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" i="8" l="1"/>
  <c r="C8" i="8" s="1"/>
  <c r="D3" i="10"/>
  <c r="J7" i="3"/>
  <c r="I7" i="3"/>
  <c r="C25" i="8"/>
  <c r="D17" i="8"/>
  <c r="G72" i="7"/>
  <c r="H72" i="7" s="1"/>
  <c r="G71" i="7"/>
  <c r="H71" i="7" s="1"/>
  <c r="G70" i="7"/>
  <c r="H70" i="7" s="1"/>
  <c r="G69" i="7"/>
  <c r="G68" i="7"/>
  <c r="H68" i="7" s="1"/>
  <c r="G67" i="7"/>
  <c r="G66" i="7"/>
  <c r="G65" i="7"/>
  <c r="H65" i="7" s="1"/>
  <c r="G64" i="7"/>
  <c r="H64" i="7" s="1"/>
  <c r="G63" i="7"/>
  <c r="G62" i="7"/>
  <c r="G61" i="7"/>
  <c r="G60" i="7"/>
  <c r="E72" i="7"/>
  <c r="F72" i="7" s="1"/>
  <c r="E71" i="7"/>
  <c r="F71" i="7" s="1"/>
  <c r="E70" i="7"/>
  <c r="E69" i="7"/>
  <c r="F69" i="7" s="1"/>
  <c r="E68" i="7"/>
  <c r="E67" i="7"/>
  <c r="F67" i="7" s="1"/>
  <c r="E66" i="7"/>
  <c r="E65" i="7"/>
  <c r="F65" i="7" s="1"/>
  <c r="E64" i="7"/>
  <c r="E63" i="7"/>
  <c r="E62" i="7"/>
  <c r="E61" i="7"/>
  <c r="F61" i="7" s="1"/>
  <c r="E60" i="7"/>
  <c r="C72" i="7"/>
  <c r="C71" i="7"/>
  <c r="C70" i="7"/>
  <c r="D70" i="7" s="1"/>
  <c r="C69" i="7"/>
  <c r="C68" i="7"/>
  <c r="D68" i="7" s="1"/>
  <c r="C67" i="7"/>
  <c r="D67" i="7" s="1"/>
  <c r="C66" i="7"/>
  <c r="D66" i="7" s="1"/>
  <c r="C65" i="7"/>
  <c r="C64" i="7"/>
  <c r="D64" i="7" s="1"/>
  <c r="C63" i="7"/>
  <c r="D63" i="7" s="1"/>
  <c r="C62" i="7"/>
  <c r="D62" i="7" s="1"/>
  <c r="C61" i="7"/>
  <c r="C60" i="7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C6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C32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W3" i="10"/>
  <c r="X3" i="10"/>
  <c r="Y3" i="10"/>
  <c r="Z3" i="10"/>
  <c r="AA3" i="10"/>
  <c r="AB3" i="10"/>
  <c r="AC3" i="10"/>
  <c r="C3" i="10"/>
  <c r="G25" i="8"/>
  <c r="F25" i="8"/>
  <c r="E25" i="8"/>
  <c r="D25" i="8"/>
  <c r="C17" i="8"/>
  <c r="G17" i="8"/>
  <c r="F17" i="8"/>
  <c r="E17" i="8"/>
  <c r="C9" i="8"/>
  <c r="D16" i="8"/>
  <c r="AQ35" i="8"/>
  <c r="AQ36" i="8"/>
  <c r="AQ37" i="8"/>
  <c r="AQ38" i="8"/>
  <c r="AQ39" i="8"/>
  <c r="AQ40" i="8"/>
  <c r="AQ41" i="8"/>
  <c r="AQ42" i="8"/>
  <c r="AQ43" i="8"/>
  <c r="AQ44" i="8"/>
  <c r="AQ34" i="8"/>
  <c r="Q35" i="8"/>
  <c r="Q36" i="8"/>
  <c r="Q37" i="8"/>
  <c r="D24" i="8" s="1"/>
  <c r="Q38" i="8"/>
  <c r="Q39" i="8"/>
  <c r="E24" i="8" s="1"/>
  <c r="Q40" i="8"/>
  <c r="Q41" i="8"/>
  <c r="Q42" i="8"/>
  <c r="Q43" i="8"/>
  <c r="Q44" i="8"/>
  <c r="Q34" i="8"/>
  <c r="Q21" i="8"/>
  <c r="AQ23" i="8"/>
  <c r="AQ22" i="8"/>
  <c r="AQ24" i="8"/>
  <c r="D18" i="8" s="1"/>
  <c r="AQ25" i="8"/>
  <c r="AQ26" i="8"/>
  <c r="E18" i="8" s="1"/>
  <c r="AQ27" i="8"/>
  <c r="AQ28" i="8"/>
  <c r="F18" i="8" s="1"/>
  <c r="AQ29" i="8"/>
  <c r="AQ30" i="8"/>
  <c r="G18" i="8" s="1"/>
  <c r="AQ31" i="8"/>
  <c r="AQ8" i="8"/>
  <c r="AQ21" i="8"/>
  <c r="Q22" i="8"/>
  <c r="Q23" i="8"/>
  <c r="Q24" i="8"/>
  <c r="Q25" i="8"/>
  <c r="Q26" i="8"/>
  <c r="Q27" i="8"/>
  <c r="Q28" i="8"/>
  <c r="F16" i="8" s="1"/>
  <c r="Q29" i="8"/>
  <c r="Q30" i="8"/>
  <c r="G16" i="8" s="1"/>
  <c r="Q31" i="8"/>
  <c r="Q9" i="8"/>
  <c r="AQ9" i="8"/>
  <c r="Q10" i="8"/>
  <c r="AQ10" i="8"/>
  <c r="Q11" i="8"/>
  <c r="AQ11" i="8"/>
  <c r="Q12" i="8"/>
  <c r="AQ12" i="8"/>
  <c r="Q13" i="8"/>
  <c r="AQ13" i="8"/>
  <c r="Q14" i="8"/>
  <c r="AQ14" i="8"/>
  <c r="Q15" i="8"/>
  <c r="AQ15" i="8"/>
  <c r="Q16" i="8"/>
  <c r="AQ16" i="8"/>
  <c r="Q17" i="8"/>
  <c r="AQ17" i="8"/>
  <c r="Q18" i="8"/>
  <c r="AQ18" i="8"/>
  <c r="I12" i="3"/>
  <c r="G9" i="8"/>
  <c r="F9" i="8"/>
  <c r="E9" i="8"/>
  <c r="D9" i="8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AB55" i="6"/>
  <c r="AB54" i="6"/>
  <c r="AB53" i="6"/>
  <c r="AB52" i="6"/>
  <c r="AB51" i="6"/>
  <c r="AB50" i="6"/>
  <c r="AB49" i="6"/>
  <c r="AC54" i="6"/>
  <c r="AC53" i="6"/>
  <c r="AC52" i="6"/>
  <c r="AC51" i="6"/>
  <c r="AC50" i="6"/>
  <c r="AC49" i="6"/>
  <c r="X54" i="6"/>
  <c r="X53" i="6"/>
  <c r="X52" i="6"/>
  <c r="X51" i="6"/>
  <c r="X50" i="6"/>
  <c r="X49" i="6"/>
  <c r="W55" i="6"/>
  <c r="W54" i="6"/>
  <c r="W53" i="6"/>
  <c r="W52" i="6"/>
  <c r="W51" i="6"/>
  <c r="W50" i="6"/>
  <c r="W49" i="6"/>
  <c r="R55" i="6"/>
  <c r="R54" i="6"/>
  <c r="R53" i="6"/>
  <c r="R52" i="6"/>
  <c r="R51" i="6"/>
  <c r="R50" i="6"/>
  <c r="R49" i="6"/>
  <c r="S54" i="6"/>
  <c r="S53" i="6"/>
  <c r="S52" i="6"/>
  <c r="S51" i="6"/>
  <c r="S50" i="6"/>
  <c r="S49" i="6"/>
  <c r="R35" i="6"/>
  <c r="M54" i="6"/>
  <c r="M53" i="6"/>
  <c r="M52" i="6"/>
  <c r="M49" i="6"/>
  <c r="M51" i="6"/>
  <c r="M50" i="6"/>
  <c r="L55" i="6"/>
  <c r="L54" i="6"/>
  <c r="L53" i="6"/>
  <c r="L52" i="6"/>
  <c r="L51" i="6"/>
  <c r="L50" i="6"/>
  <c r="L49" i="6"/>
  <c r="G55" i="6"/>
  <c r="G54" i="6"/>
  <c r="G53" i="6"/>
  <c r="G52" i="6"/>
  <c r="G51" i="6"/>
  <c r="G50" i="6"/>
  <c r="G49" i="6"/>
  <c r="H54" i="6"/>
  <c r="H53" i="6"/>
  <c r="H52" i="6"/>
  <c r="H51" i="6"/>
  <c r="H50" i="6"/>
  <c r="H49" i="6"/>
  <c r="C54" i="6"/>
  <c r="C53" i="6"/>
  <c r="C52" i="6"/>
  <c r="C51" i="6"/>
  <c r="C50" i="6"/>
  <c r="C49" i="6"/>
  <c r="B55" i="6"/>
  <c r="B54" i="6"/>
  <c r="B53" i="6"/>
  <c r="B52" i="6"/>
  <c r="B51" i="6"/>
  <c r="B50" i="6"/>
  <c r="B49" i="6"/>
  <c r="AA50" i="6"/>
  <c r="AA51" i="6" s="1"/>
  <c r="AA52" i="6" s="1"/>
  <c r="AA53" i="6" s="1"/>
  <c r="AA54" i="6" s="1"/>
  <c r="AA55" i="6" s="1"/>
  <c r="V50" i="6"/>
  <c r="V51" i="6" s="1"/>
  <c r="V52" i="6" s="1"/>
  <c r="V53" i="6" s="1"/>
  <c r="V54" i="6" s="1"/>
  <c r="V55" i="6" s="1"/>
  <c r="Q50" i="6"/>
  <c r="Q51" i="6" s="1"/>
  <c r="Q52" i="6" s="1"/>
  <c r="Q53" i="6" s="1"/>
  <c r="Q54" i="6" s="1"/>
  <c r="Q55" i="6" s="1"/>
  <c r="K50" i="6"/>
  <c r="K51" i="6" s="1"/>
  <c r="K52" i="6" s="1"/>
  <c r="K53" i="6" s="1"/>
  <c r="K54" i="6" s="1"/>
  <c r="K55" i="6" s="1"/>
  <c r="F50" i="6"/>
  <c r="F51" i="6" s="1"/>
  <c r="F52" i="6" s="1"/>
  <c r="F53" i="6" s="1"/>
  <c r="F54" i="6" s="1"/>
  <c r="F55" i="6" s="1"/>
  <c r="A50" i="6"/>
  <c r="A51" i="6" s="1"/>
  <c r="A52" i="6" s="1"/>
  <c r="A53" i="6" s="1"/>
  <c r="A54" i="6" s="1"/>
  <c r="A55" i="6" s="1"/>
  <c r="AC40" i="6"/>
  <c r="AC39" i="6"/>
  <c r="AC38" i="6"/>
  <c r="AC37" i="6"/>
  <c r="AC36" i="6"/>
  <c r="AC35" i="6"/>
  <c r="AB41" i="6"/>
  <c r="AB40" i="6"/>
  <c r="AB39" i="6"/>
  <c r="AB38" i="6"/>
  <c r="AB37" i="6"/>
  <c r="AB36" i="6"/>
  <c r="AB35" i="6"/>
  <c r="W41" i="6"/>
  <c r="W40" i="6"/>
  <c r="W39" i="6"/>
  <c r="W38" i="6"/>
  <c r="W37" i="6"/>
  <c r="W36" i="6"/>
  <c r="W35" i="6"/>
  <c r="X40" i="6"/>
  <c r="X39" i="6"/>
  <c r="X38" i="6"/>
  <c r="X37" i="6"/>
  <c r="X36" i="6"/>
  <c r="X35" i="6"/>
  <c r="S40" i="6"/>
  <c r="S39" i="6"/>
  <c r="S38" i="6"/>
  <c r="S37" i="6"/>
  <c r="S36" i="6"/>
  <c r="S35" i="6"/>
  <c r="R41" i="6"/>
  <c r="R40" i="6"/>
  <c r="R39" i="6"/>
  <c r="R38" i="6"/>
  <c r="R37" i="6"/>
  <c r="R36" i="6"/>
  <c r="L41" i="6"/>
  <c r="L40" i="6"/>
  <c r="L39" i="6"/>
  <c r="L38" i="6"/>
  <c r="L37" i="6"/>
  <c r="L36" i="6"/>
  <c r="L35" i="6"/>
  <c r="M40" i="6"/>
  <c r="M39" i="6"/>
  <c r="M38" i="6"/>
  <c r="M37" i="6"/>
  <c r="M36" i="6"/>
  <c r="M35" i="6"/>
  <c r="H40" i="6"/>
  <c r="H39" i="6"/>
  <c r="H38" i="6"/>
  <c r="H37" i="6"/>
  <c r="H36" i="6"/>
  <c r="H35" i="6"/>
  <c r="G41" i="6"/>
  <c r="G40" i="6"/>
  <c r="G39" i="6"/>
  <c r="G38" i="6"/>
  <c r="G37" i="6"/>
  <c r="G36" i="6"/>
  <c r="G35" i="6"/>
  <c r="C40" i="6"/>
  <c r="C39" i="6"/>
  <c r="C38" i="6"/>
  <c r="C37" i="6"/>
  <c r="C36" i="6"/>
  <c r="C35" i="6"/>
  <c r="B41" i="6"/>
  <c r="B40" i="6"/>
  <c r="B39" i="6"/>
  <c r="B38" i="6"/>
  <c r="B37" i="6"/>
  <c r="B36" i="6"/>
  <c r="B35" i="6"/>
  <c r="AA36" i="6"/>
  <c r="AA37" i="6" s="1"/>
  <c r="AA38" i="6" s="1"/>
  <c r="AA39" i="6" s="1"/>
  <c r="AA40" i="6" s="1"/>
  <c r="AA41" i="6" s="1"/>
  <c r="V36" i="6"/>
  <c r="V37" i="6" s="1"/>
  <c r="V38" i="6" s="1"/>
  <c r="V39" i="6" s="1"/>
  <c r="V40" i="6" s="1"/>
  <c r="V41" i="6" s="1"/>
  <c r="Q36" i="6"/>
  <c r="Q37" i="6" s="1"/>
  <c r="Q38" i="6" s="1"/>
  <c r="Q39" i="6" s="1"/>
  <c r="Q40" i="6" s="1"/>
  <c r="Q41" i="6" s="1"/>
  <c r="K36" i="6"/>
  <c r="K37" i="6" s="1"/>
  <c r="K38" i="6" s="1"/>
  <c r="K39" i="6" s="1"/>
  <c r="K40" i="6" s="1"/>
  <c r="K41" i="6" s="1"/>
  <c r="F36" i="6"/>
  <c r="F37" i="6" s="1"/>
  <c r="F38" i="6" s="1"/>
  <c r="F39" i="6" s="1"/>
  <c r="F40" i="6" s="1"/>
  <c r="F41" i="6" s="1"/>
  <c r="A36" i="6"/>
  <c r="A37" i="6" s="1"/>
  <c r="A38" i="6" s="1"/>
  <c r="A39" i="6" s="1"/>
  <c r="A40" i="6" s="1"/>
  <c r="A41" i="6" s="1"/>
  <c r="AB28" i="6"/>
  <c r="AB27" i="6"/>
  <c r="AB26" i="6"/>
  <c r="AB25" i="6"/>
  <c r="AB24" i="6"/>
  <c r="AB23" i="6"/>
  <c r="AB22" i="6"/>
  <c r="AC27" i="6"/>
  <c r="AC26" i="6"/>
  <c r="AC25" i="6"/>
  <c r="AC24" i="6"/>
  <c r="AC23" i="6"/>
  <c r="AC22" i="6"/>
  <c r="AA23" i="6"/>
  <c r="AA24" i="6" s="1"/>
  <c r="AA25" i="6" s="1"/>
  <c r="AA26" i="6" s="1"/>
  <c r="AA27" i="6" s="1"/>
  <c r="AA28" i="6" s="1"/>
  <c r="X27" i="6"/>
  <c r="X26" i="6"/>
  <c r="X25" i="6"/>
  <c r="X24" i="6"/>
  <c r="X23" i="6"/>
  <c r="X22" i="6"/>
  <c r="W28" i="6"/>
  <c r="W27" i="6"/>
  <c r="W26" i="6"/>
  <c r="W25" i="6"/>
  <c r="W24" i="6"/>
  <c r="W23" i="6"/>
  <c r="W22" i="6"/>
  <c r="V23" i="6"/>
  <c r="V24" i="6" s="1"/>
  <c r="V25" i="6" s="1"/>
  <c r="V26" i="6" s="1"/>
  <c r="V27" i="6" s="1"/>
  <c r="V28" i="6" s="1"/>
  <c r="S27" i="6"/>
  <c r="S26" i="6"/>
  <c r="S25" i="6"/>
  <c r="S24" i="6"/>
  <c r="S23" i="6"/>
  <c r="S22" i="6"/>
  <c r="R28" i="6"/>
  <c r="R27" i="6"/>
  <c r="R26" i="6"/>
  <c r="R25" i="6"/>
  <c r="R24" i="6"/>
  <c r="R23" i="6"/>
  <c r="R22" i="6"/>
  <c r="Q23" i="6"/>
  <c r="Q24" i="6" s="1"/>
  <c r="Q25" i="6" s="1"/>
  <c r="Q26" i="6" s="1"/>
  <c r="Q27" i="6" s="1"/>
  <c r="Q28" i="6" s="1"/>
  <c r="H27" i="6"/>
  <c r="H26" i="6"/>
  <c r="H25" i="6"/>
  <c r="H24" i="6"/>
  <c r="H23" i="6"/>
  <c r="H22" i="6"/>
  <c r="G28" i="6"/>
  <c r="G27" i="6"/>
  <c r="G26" i="6"/>
  <c r="G25" i="6"/>
  <c r="G24" i="6"/>
  <c r="G23" i="6"/>
  <c r="G22" i="6"/>
  <c r="F23" i="6"/>
  <c r="F24" i="6" s="1"/>
  <c r="F25" i="6" s="1"/>
  <c r="F26" i="6" s="1"/>
  <c r="F27" i="6" s="1"/>
  <c r="F28" i="6" s="1"/>
  <c r="M27" i="6"/>
  <c r="M26" i="6"/>
  <c r="M25" i="6"/>
  <c r="M24" i="6"/>
  <c r="M23" i="6"/>
  <c r="M22" i="6"/>
  <c r="L28" i="6"/>
  <c r="L27" i="6"/>
  <c r="L26" i="6"/>
  <c r="L25" i="6"/>
  <c r="L24" i="6"/>
  <c r="L23" i="6"/>
  <c r="L22" i="6"/>
  <c r="K23" i="6"/>
  <c r="K24" i="6" s="1"/>
  <c r="K25" i="6" s="1"/>
  <c r="K26" i="6" s="1"/>
  <c r="K27" i="6" s="1"/>
  <c r="K28" i="6" s="1"/>
  <c r="P6" i="6"/>
  <c r="P7" i="6"/>
  <c r="P8" i="6"/>
  <c r="P9" i="6"/>
  <c r="P10" i="6"/>
  <c r="P5" i="6"/>
  <c r="J6" i="6"/>
  <c r="J7" i="6"/>
  <c r="J8" i="6"/>
  <c r="J9" i="6"/>
  <c r="J10" i="6"/>
  <c r="J5" i="6"/>
  <c r="C27" i="6"/>
  <c r="C26" i="6"/>
  <c r="C25" i="6"/>
  <c r="C24" i="6"/>
  <c r="C23" i="6"/>
  <c r="C22" i="6"/>
  <c r="B28" i="6"/>
  <c r="B27" i="6"/>
  <c r="B26" i="6"/>
  <c r="B25" i="6"/>
  <c r="B24" i="6"/>
  <c r="B23" i="6"/>
  <c r="B22" i="6"/>
  <c r="A23" i="6"/>
  <c r="A24" i="6" s="1"/>
  <c r="A25" i="6" s="1"/>
  <c r="A26" i="6" s="1"/>
  <c r="A27" i="6" s="1"/>
  <c r="A28" i="6" s="1"/>
  <c r="M6" i="6"/>
  <c r="M7" i="6" s="1"/>
  <c r="M8" i="6" s="1"/>
  <c r="M9" i="6" s="1"/>
  <c r="M10" i="6" s="1"/>
  <c r="M11" i="6" s="1"/>
  <c r="D5" i="6"/>
  <c r="G6" i="6"/>
  <c r="G7" i="6" s="1"/>
  <c r="G8" i="6" s="1"/>
  <c r="G9" i="6" s="1"/>
  <c r="G10" i="6" s="1"/>
  <c r="G11" i="6" s="1"/>
  <c r="D6" i="6"/>
  <c r="D7" i="6"/>
  <c r="D8" i="6"/>
  <c r="D9" i="6"/>
  <c r="D10" i="6"/>
  <c r="A6" i="6"/>
  <c r="A7" i="6" s="1"/>
  <c r="A8" i="6" s="1"/>
  <c r="A9" i="6" s="1"/>
  <c r="A10" i="6" s="1"/>
  <c r="A11" i="6" s="1"/>
  <c r="M8" i="3"/>
  <c r="M9" i="3"/>
  <c r="M10" i="3"/>
  <c r="M11" i="3"/>
  <c r="M12" i="3"/>
  <c r="M7" i="3"/>
  <c r="K8" i="3"/>
  <c r="K9" i="3"/>
  <c r="K10" i="3"/>
  <c r="K11" i="3"/>
  <c r="K12" i="3"/>
  <c r="K7" i="3"/>
  <c r="I8" i="3"/>
  <c r="I9" i="3"/>
  <c r="I10" i="3"/>
  <c r="I11" i="3"/>
  <c r="AD261" i="1"/>
  <c r="AD264" i="1" s="1"/>
  <c r="AC261" i="1"/>
  <c r="AC264" i="1" s="1"/>
  <c r="AB261" i="1"/>
  <c r="AB264" i="1" s="1"/>
  <c r="AA261" i="1"/>
  <c r="AA264" i="1" s="1"/>
  <c r="Z261" i="1"/>
  <c r="Z264" i="1" s="1"/>
  <c r="Y261" i="1"/>
  <c r="Y264" i="1" s="1"/>
  <c r="X264" i="1"/>
  <c r="W261" i="1"/>
  <c r="W264" i="1" s="1"/>
  <c r="V264" i="1"/>
  <c r="AD260" i="1"/>
  <c r="AD263" i="1" s="1"/>
  <c r="AC260" i="1"/>
  <c r="AC263" i="1" s="1"/>
  <c r="AB260" i="1"/>
  <c r="AB263" i="1" s="1"/>
  <c r="AA260" i="1"/>
  <c r="AA263" i="1" s="1"/>
  <c r="Z260" i="1"/>
  <c r="Z263" i="1" s="1"/>
  <c r="Y260" i="1"/>
  <c r="Y263" i="1" s="1"/>
  <c r="AD262" i="1"/>
  <c r="AD265" i="1" s="1"/>
  <c r="AC262" i="1"/>
  <c r="AC265" i="1" s="1"/>
  <c r="AB262" i="1"/>
  <c r="AB265" i="1" s="1"/>
  <c r="AA262" i="1"/>
  <c r="AA265" i="1" s="1"/>
  <c r="Z262" i="1"/>
  <c r="Z265" i="1" s="1"/>
  <c r="Y262" i="1"/>
  <c r="Y265" i="1" s="1"/>
  <c r="X265" i="1"/>
  <c r="W262" i="1"/>
  <c r="W265" i="1" s="1"/>
  <c r="V265" i="1"/>
  <c r="X263" i="1"/>
  <c r="W260" i="1"/>
  <c r="W263" i="1" s="1"/>
  <c r="V263" i="1"/>
  <c r="T261" i="1"/>
  <c r="T264" i="1" s="1"/>
  <c r="S261" i="1"/>
  <c r="S264" i="1" s="1"/>
  <c r="R261" i="1"/>
  <c r="R264" i="1" s="1"/>
  <c r="Q261" i="1"/>
  <c r="Q264" i="1" s="1"/>
  <c r="P264" i="1"/>
  <c r="O261" i="1"/>
  <c r="O264" i="1" s="1"/>
  <c r="N264" i="1"/>
  <c r="M264" i="1"/>
  <c r="L264" i="1"/>
  <c r="T262" i="1"/>
  <c r="T265" i="1" s="1"/>
  <c r="S262" i="1"/>
  <c r="S265" i="1" s="1"/>
  <c r="R262" i="1"/>
  <c r="R265" i="1" s="1"/>
  <c r="Q262" i="1"/>
  <c r="Q265" i="1" s="1"/>
  <c r="P265" i="1"/>
  <c r="O262" i="1"/>
  <c r="O265" i="1" s="1"/>
  <c r="N265" i="1"/>
  <c r="M265" i="1"/>
  <c r="L265" i="1"/>
  <c r="T260" i="1"/>
  <c r="T263" i="1" s="1"/>
  <c r="S260" i="1"/>
  <c r="S263" i="1" s="1"/>
  <c r="R260" i="1"/>
  <c r="R263" i="1" s="1"/>
  <c r="Q260" i="1"/>
  <c r="Q263" i="1" s="1"/>
  <c r="P263" i="1"/>
  <c r="O260" i="1"/>
  <c r="O263" i="1" s="1"/>
  <c r="N263" i="1"/>
  <c r="M263" i="1"/>
  <c r="L263" i="1"/>
  <c r="K265" i="1"/>
  <c r="J265" i="1"/>
  <c r="I265" i="1"/>
  <c r="H265" i="1"/>
  <c r="G265" i="1"/>
  <c r="K263" i="1"/>
  <c r="J263" i="1"/>
  <c r="I263" i="1"/>
  <c r="H263" i="1"/>
  <c r="G263" i="1"/>
  <c r="J264" i="1"/>
  <c r="I264" i="1"/>
  <c r="H264" i="1"/>
  <c r="G264" i="1"/>
  <c r="F264" i="1"/>
  <c r="F265" i="1"/>
  <c r="F263" i="1"/>
  <c r="E261" i="1"/>
  <c r="E264" i="1" s="1"/>
  <c r="E262" i="1"/>
  <c r="E265" i="1" s="1"/>
  <c r="E260" i="1"/>
  <c r="E263" i="1" s="1"/>
  <c r="D264" i="1"/>
  <c r="D265" i="1"/>
  <c r="D263" i="1"/>
  <c r="H66" i="7" l="1"/>
  <c r="D61" i="7"/>
  <c r="F64" i="7"/>
  <c r="H67" i="7"/>
  <c r="F63" i="7"/>
  <c r="F66" i="7"/>
  <c r="H69" i="7"/>
  <c r="D65" i="7"/>
  <c r="F70" i="7"/>
  <c r="D69" i="7"/>
  <c r="H61" i="7"/>
  <c r="D72" i="7"/>
  <c r="H62" i="7"/>
  <c r="H63" i="7"/>
  <c r="F62" i="7"/>
  <c r="F68" i="7"/>
  <c r="D71" i="7"/>
  <c r="D31" i="7"/>
  <c r="C24" i="8"/>
  <c r="F26" i="8"/>
  <c r="E26" i="8"/>
  <c r="E16" i="8"/>
  <c r="F24" i="8"/>
  <c r="G26" i="8"/>
  <c r="C16" i="8"/>
  <c r="G24" i="8"/>
  <c r="D10" i="8"/>
  <c r="C18" i="8"/>
  <c r="D26" i="8"/>
  <c r="C26" i="8"/>
  <c r="G10" i="8"/>
  <c r="F10" i="8"/>
  <c r="E10" i="8"/>
  <c r="C10" i="8"/>
  <c r="D8" i="8"/>
  <c r="G8" i="8"/>
  <c r="F8" i="8"/>
  <c r="E8" i="8"/>
  <c r="N49" i="6"/>
  <c r="AD51" i="6"/>
  <c r="D52" i="7"/>
  <c r="D36" i="7"/>
  <c r="D19" i="7"/>
  <c r="D54" i="7"/>
  <c r="D33" i="7"/>
  <c r="D44" i="7"/>
  <c r="D45" i="7"/>
  <c r="D46" i="7"/>
  <c r="D47" i="7"/>
  <c r="D30" i="7"/>
  <c r="D32" i="7"/>
  <c r="D53" i="7"/>
  <c r="D55" i="7"/>
  <c r="D34" i="7"/>
  <c r="D14" i="7"/>
  <c r="D35" i="7"/>
  <c r="D50" i="7"/>
  <c r="D51" i="7"/>
  <c r="D48" i="7"/>
  <c r="D49" i="7"/>
  <c r="D37" i="7"/>
  <c r="D26" i="7"/>
  <c r="D27" i="7"/>
  <c r="D28" i="7"/>
  <c r="D29" i="7"/>
  <c r="D10" i="7"/>
  <c r="D12" i="7"/>
  <c r="D16" i="7"/>
  <c r="D17" i="7"/>
  <c r="D9" i="7"/>
  <c r="D15" i="7"/>
  <c r="T49" i="6"/>
  <c r="D18" i="7"/>
  <c r="D8" i="7"/>
  <c r="I53" i="6"/>
  <c r="D11" i="7"/>
  <c r="N52" i="6"/>
  <c r="I52" i="6"/>
  <c r="Y53" i="6"/>
  <c r="N50" i="6"/>
  <c r="Y54" i="6"/>
  <c r="I54" i="6"/>
  <c r="AD49" i="6"/>
  <c r="AD50" i="6"/>
  <c r="D13" i="7"/>
  <c r="N53" i="6"/>
  <c r="AD52" i="6"/>
  <c r="N51" i="6"/>
  <c r="N54" i="6"/>
  <c r="AD53" i="6"/>
  <c r="T50" i="6"/>
  <c r="D49" i="6"/>
  <c r="AD54" i="6"/>
  <c r="D50" i="6"/>
  <c r="D51" i="6"/>
  <c r="D52" i="6"/>
  <c r="T51" i="6"/>
  <c r="D53" i="6"/>
  <c r="T52" i="6"/>
  <c r="D54" i="6"/>
  <c r="T53" i="6"/>
  <c r="Y49" i="6"/>
  <c r="I49" i="6"/>
  <c r="T54" i="6"/>
  <c r="Y50" i="6"/>
  <c r="I50" i="6"/>
  <c r="Y51" i="6"/>
  <c r="I51" i="6"/>
  <c r="Y52" i="6"/>
  <c r="N38" i="6"/>
  <c r="N35" i="6"/>
  <c r="T37" i="6"/>
  <c r="T38" i="6"/>
  <c r="Y39" i="6"/>
  <c r="N36" i="6"/>
  <c r="N37" i="6"/>
  <c r="AD40" i="6"/>
  <c r="I36" i="6"/>
  <c r="N40" i="6"/>
  <c r="I37" i="6"/>
  <c r="T36" i="6"/>
  <c r="Y35" i="6"/>
  <c r="AD35" i="6"/>
  <c r="T39" i="6"/>
  <c r="T40" i="6"/>
  <c r="I35" i="6"/>
  <c r="N39" i="6"/>
  <c r="AD38" i="6"/>
  <c r="Y36" i="6"/>
  <c r="AD39" i="6"/>
  <c r="Y37" i="6"/>
  <c r="I38" i="6"/>
  <c r="T35" i="6"/>
  <c r="Y38" i="6"/>
  <c r="I39" i="6"/>
  <c r="I40" i="6"/>
  <c r="Y40" i="6"/>
  <c r="AD36" i="6"/>
  <c r="AD37" i="6"/>
  <c r="D35" i="6"/>
  <c r="D36" i="6"/>
  <c r="D37" i="6"/>
  <c r="D38" i="6"/>
  <c r="D40" i="6"/>
  <c r="D39" i="6"/>
  <c r="AD22" i="6"/>
  <c r="AD23" i="6"/>
  <c r="AD24" i="6"/>
  <c r="AD26" i="6"/>
  <c r="Y22" i="6"/>
  <c r="AD27" i="6"/>
  <c r="T27" i="6"/>
  <c r="Y25" i="6"/>
  <c r="AD25" i="6"/>
  <c r="Y23" i="6"/>
  <c r="T22" i="6"/>
  <c r="Y24" i="6"/>
  <c r="Y26" i="6"/>
  <c r="Y27" i="6"/>
  <c r="T23" i="6"/>
  <c r="T24" i="6"/>
  <c r="T25" i="6"/>
  <c r="T26" i="6"/>
  <c r="I26" i="6"/>
  <c r="I23" i="6"/>
  <c r="I24" i="6"/>
  <c r="I25" i="6"/>
  <c r="I27" i="6"/>
  <c r="I22" i="6"/>
  <c r="N22" i="6"/>
  <c r="N23" i="6"/>
  <c r="N24" i="6"/>
  <c r="N25" i="6"/>
  <c r="N26" i="6"/>
  <c r="N27" i="6"/>
  <c r="D25" i="6"/>
  <c r="D26" i="6"/>
  <c r="D27" i="6"/>
  <c r="D22" i="6"/>
  <c r="D23" i="6"/>
  <c r="D24" i="6"/>
  <c r="K13" i="3"/>
  <c r="L10" i="3" s="1"/>
  <c r="M13" i="3"/>
  <c r="N8" i="3" s="1"/>
  <c r="I13" i="3"/>
  <c r="J12" i="3" s="1"/>
  <c r="K264" i="1"/>
  <c r="L9" i="3" l="1"/>
  <c r="L11" i="3"/>
  <c r="L7" i="3"/>
  <c r="L8" i="3"/>
  <c r="L12" i="3"/>
  <c r="N10" i="3"/>
  <c r="N9" i="3"/>
  <c r="N11" i="3"/>
  <c r="N12" i="3"/>
  <c r="N7" i="3"/>
  <c r="J10" i="3"/>
  <c r="J8" i="3"/>
  <c r="J9" i="3"/>
  <c r="J1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C6BC7E-2D21-45EE-BA59-DF10452F07DA}" keepAlive="1" name="Query - All_India_Index_Upto_April23_RAW FILE" description="Connection to the 'All_India_Index_Upto_April23_RAW FILE' query in the workbook." type="5" refreshedVersion="8" background="1" saveData="1">
    <dbPr connection="Provider=Microsoft.Mashup.OleDb.1;Data Source=$Workbook$;Location=&quot;All_India_Index_Upto_April23_RAW FILE&quot;;Extended Properties=&quot;&quot;" command="SELECT * FROM [All_India_Index_Upto_April23_RAW FILE]"/>
  </connection>
</connections>
</file>

<file path=xl/sharedStrings.xml><?xml version="1.0" encoding="utf-8"?>
<sst xmlns="http://schemas.openxmlformats.org/spreadsheetml/2006/main" count="3198" uniqueCount="315">
  <si>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</si>
  <si>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</si>
  <si>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</si>
  <si>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</si>
  <si>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</si>
  <si>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</si>
  <si>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</si>
  <si>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</si>
  <si>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</si>
  <si>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</si>
  <si>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</si>
  <si>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</si>
  <si>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</si>
  <si>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</si>
  <si>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</si>
  <si>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</si>
  <si>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</si>
  <si>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</si>
  <si>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</si>
  <si>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</si>
  <si>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</si>
  <si>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</si>
  <si>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</si>
  <si>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</si>
  <si>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</si>
  <si>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</si>
  <si>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</si>
  <si>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</si>
  <si>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</si>
  <si>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</si>
  <si>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</si>
  <si>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</si>
  <si>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</si>
  <si>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</si>
  <si>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100.3</t>
  </si>
  <si>
    <t>Rural+Urban</t>
  </si>
  <si>
    <t>February</t>
  </si>
  <si>
    <t>100.4</t>
  </si>
  <si>
    <t>March</t>
  </si>
  <si>
    <t>April</t>
  </si>
  <si>
    <t>100.5</t>
  </si>
  <si>
    <t>May</t>
  </si>
  <si>
    <t>June</t>
  </si>
  <si>
    <t>106.6</t>
  </si>
  <si>
    <t>July</t>
  </si>
  <si>
    <t>107.7</t>
  </si>
  <si>
    <t>August</t>
  </si>
  <si>
    <t>108.9</t>
  </si>
  <si>
    <t>September</t>
  </si>
  <si>
    <t>109.7</t>
  </si>
  <si>
    <t>October</t>
  </si>
  <si>
    <t>110.5</t>
  </si>
  <si>
    <t xml:space="preserve">November </t>
  </si>
  <si>
    <t>November</t>
  </si>
  <si>
    <t>111.1</t>
  </si>
  <si>
    <t>December</t>
  </si>
  <si>
    <t>110.7</t>
  </si>
  <si>
    <t>111.6</t>
  </si>
  <si>
    <t>112.5</t>
  </si>
  <si>
    <t>113.2</t>
  </si>
  <si>
    <t>Marcrh</t>
  </si>
  <si>
    <t>113.9</t>
  </si>
  <si>
    <t>114.3</t>
  </si>
  <si>
    <t>114.8</t>
  </si>
  <si>
    <t>115.5</t>
  </si>
  <si>
    <t>116.1</t>
  </si>
  <si>
    <t>116.7</t>
  </si>
  <si>
    <t>117.1</t>
  </si>
  <si>
    <t>116.5</t>
  </si>
  <si>
    <t>117.3</t>
  </si>
  <si>
    <t>118.1</t>
  </si>
  <si>
    <t>118.6</t>
  </si>
  <si>
    <t>119.2</t>
  </si>
  <si>
    <t>119.6</t>
  </si>
  <si>
    <t>119</t>
  </si>
  <si>
    <t>119.9</t>
  </si>
  <si>
    <t>120.9</t>
  </si>
  <si>
    <t>121.6</t>
  </si>
  <si>
    <t>122.4</t>
  </si>
  <si>
    <t>122.9</t>
  </si>
  <si>
    <t>123.4</t>
  </si>
  <si>
    <t>124.4</t>
  </si>
  <si>
    <t>124.9</t>
  </si>
  <si>
    <t>125.6</t>
  </si>
  <si>
    <t>126</t>
  </si>
  <si>
    <t>125.5</t>
  </si>
  <si>
    <t>126.4</t>
  </si>
  <si>
    <t>127.3</t>
  </si>
  <si>
    <t>127.9</t>
  </si>
  <si>
    <t>128.7</t>
  </si>
  <si>
    <t>129.1</t>
  </si>
  <si>
    <t>128.5</t>
  </si>
  <si>
    <t>129.6</t>
  </si>
  <si>
    <t>130.5</t>
  </si>
  <si>
    <t>131.1</t>
  </si>
  <si>
    <t>131.7</t>
  </si>
  <si>
    <t>132.1</t>
  </si>
  <si>
    <t>131.4</t>
  </si>
  <si>
    <t>132.6</t>
  </si>
  <si>
    <t>134.4</t>
  </si>
  <si>
    <t>135.7</t>
  </si>
  <si>
    <t>137.3</t>
  </si>
  <si>
    <t>138.6</t>
  </si>
  <si>
    <t>139.1</t>
  </si>
  <si>
    <t>140.4</t>
  </si>
  <si>
    <t>141.3</t>
  </si>
  <si>
    <t>142</t>
  </si>
  <si>
    <t>142.9</t>
  </si>
  <si>
    <t>143.2</t>
  </si>
  <si>
    <t>142.5</t>
  </si>
  <si>
    <t>143.6</t>
  </si>
  <si>
    <t>144.6</t>
  </si>
  <si>
    <t>145.3</t>
  </si>
  <si>
    <t>146.3</t>
  </si>
  <si>
    <t>146.9</t>
  </si>
  <si>
    <t>146.5</t>
  </si>
  <si>
    <t>147.7</t>
  </si>
  <si>
    <t>148.5</t>
  </si>
  <si>
    <t>149</t>
  </si>
  <si>
    <t>150.1</t>
  </si>
  <si>
    <t>149.4</t>
  </si>
  <si>
    <t>150.6</t>
  </si>
  <si>
    <t>151.6</t>
  </si>
  <si>
    <t>152.2</t>
  </si>
  <si>
    <t>153</t>
  </si>
  <si>
    <t>153.5</t>
  </si>
  <si>
    <t>152.8</t>
  </si>
  <si>
    <t>153.9</t>
  </si>
  <si>
    <t>154.8</t>
  </si>
  <si>
    <t>154.5</t>
  </si>
  <si>
    <t>155.6</t>
  </si>
  <si>
    <t>154.7</t>
  </si>
  <si>
    <t>155.5</t>
  </si>
  <si>
    <t>156.3</t>
  </si>
  <si>
    <t>156.5</t>
  </si>
  <si>
    <t>158</t>
  </si>
  <si>
    <t>158.4</t>
  </si>
  <si>
    <t>157.7</t>
  </si>
  <si>
    <t>159.8</t>
  </si>
  <si>
    <t>-</t>
  </si>
  <si>
    <t>159.9</t>
  </si>
  <si>
    <t>161.4</t>
  </si>
  <si>
    <t>161.6</t>
  </si>
  <si>
    <t>160.5</t>
  </si>
  <si>
    <t>161.5</t>
  </si>
  <si>
    <t>162.1</t>
  </si>
  <si>
    <t>163.6</t>
  </si>
  <si>
    <t>164.2</t>
  </si>
  <si>
    <t>163.4</t>
  </si>
  <si>
    <t>164.5</t>
  </si>
  <si>
    <t>165.5</t>
  </si>
  <si>
    <t>165.3</t>
  </si>
  <si>
    <t>167</t>
  </si>
  <si>
    <t>167.5</t>
  </si>
  <si>
    <t>166.8</t>
  </si>
  <si>
    <t>167.8</t>
  </si>
  <si>
    <t>169</t>
  </si>
  <si>
    <t>169.5</t>
  </si>
  <si>
    <t>171.2</t>
  </si>
  <si>
    <t>171.8</t>
  </si>
  <si>
    <t>170.7</t>
  </si>
  <si>
    <t>172.1</t>
  </si>
  <si>
    <t>173.5</t>
  </si>
  <si>
    <t>175.2</t>
  </si>
  <si>
    <t>175.6</t>
  </si>
  <si>
    <t>Password for main data sheet - Bhagya</t>
  </si>
  <si>
    <t>Column Name</t>
  </si>
  <si>
    <t>Remarks</t>
  </si>
  <si>
    <t>Corrections done</t>
  </si>
  <si>
    <t>Category</t>
  </si>
  <si>
    <t>Food</t>
  </si>
  <si>
    <t>Misc</t>
  </si>
  <si>
    <t>Energy</t>
  </si>
  <si>
    <t>Rural%</t>
  </si>
  <si>
    <t>Urban%</t>
  </si>
  <si>
    <t>Rural+Urban%</t>
  </si>
  <si>
    <t>*We did not have rural housing data so have excluded it.</t>
  </si>
  <si>
    <t>The following is done for problem statement 1.</t>
  </si>
  <si>
    <t>Contribution is calculated by evaluating the underlying index values for broader category and should add to 100% when contribution from different broader categories are added .</t>
  </si>
  <si>
    <t>Which broader category  has the highest contribution towards CPI calculation</t>
  </si>
  <si>
    <t xml:space="preserve">Years </t>
  </si>
  <si>
    <t>Jan</t>
  </si>
  <si>
    <t>Dec</t>
  </si>
  <si>
    <t>YoY% Change</t>
  </si>
  <si>
    <t>We only have data till may 2023</t>
  </si>
  <si>
    <t>(Rural+Urban)</t>
  </si>
  <si>
    <t>Years</t>
  </si>
  <si>
    <t>YoY%Change</t>
  </si>
  <si>
    <t>We only have data till May 2023</t>
  </si>
  <si>
    <t>Category Wise</t>
  </si>
  <si>
    <t xml:space="preserve">Rural </t>
  </si>
  <si>
    <t xml:space="preserve">(we used the same data as the urban data as we did </t>
  </si>
  <si>
    <t xml:space="preserve">not have enough data in rural sector) </t>
  </si>
  <si>
    <t>2. A trend of Y-o-Y increase in CPI (rural + urban) inflation starting 2017 for the entire basket of products combined.</t>
  </si>
  <si>
    <t>Qa.  Create a graph depicting the growth rate Y-o-Y and identify the year with highest inflation rate</t>
  </si>
  <si>
    <t xml:space="preserve">Qb. Highlight the reason why the year has the highest inflation (based on research)  </t>
  </si>
  <si>
    <r>
      <t xml:space="preserve">1.Based on the </t>
    </r>
    <r>
      <rPr>
        <b/>
        <sz val="12"/>
        <color theme="7"/>
        <rFont val="Calibri"/>
        <family val="2"/>
        <scheme val="minor"/>
      </rPr>
      <t>latest</t>
    </r>
    <r>
      <rPr>
        <sz val="12"/>
        <color theme="7"/>
        <rFont val="Calibri"/>
        <family val="2"/>
        <scheme val="minor"/>
      </rPr>
      <t xml:space="preserve"> month’s data, identify the contribution of different broader categories (food, energy, transportation, education, etc.) towards the CPI basket. Broader categories (buckets) can be created by combining similar categories into one bucket; Ex.: Meals, Beverages, Cereals, can be clubbed to create “Food” category, etc.</t>
    </r>
  </si>
  <si>
    <t>Category wise (Food)</t>
  </si>
  <si>
    <t>CPI(Food)</t>
  </si>
  <si>
    <t>MoM%</t>
  </si>
  <si>
    <t xml:space="preserve">The time frame is between June 22 to May 23. </t>
  </si>
  <si>
    <t>Investigate trends in the prices of broader food bucket category and evaluate month-on-month changes. Highlight month with highest and lowest food inflation</t>
  </si>
  <si>
    <t>Inflation (Food)</t>
  </si>
  <si>
    <t>3. With India's retail inflation reaching a 3-month high of 5.55% in November 2023, largely due to a sharp rise in food prices. Analyze the following for 12 months ending May’23</t>
  </si>
  <si>
    <t>Identify the absolute changes in inflation over the same 12 months period and identify the biggest individual category contributor (only within broader food category) towards inflation</t>
  </si>
  <si>
    <t>2018-19</t>
  </si>
  <si>
    <t>2020-21</t>
  </si>
  <si>
    <t>2021-22</t>
  </si>
  <si>
    <t>2022-23</t>
  </si>
  <si>
    <t>2019-20</t>
  </si>
  <si>
    <t>Before Covid</t>
  </si>
  <si>
    <t>After Covid</t>
  </si>
  <si>
    <t>Jan-Dec</t>
  </si>
  <si>
    <t>Covid</t>
  </si>
  <si>
    <r>
      <t xml:space="preserve">4. Investigate how the onset and progression of the COVID-19 pandemic affected inflation rates in India. Analyze the Impact of key pandemic milestone ( first lockdown) on the CPI inflation %, specially focus on categories like </t>
    </r>
    <r>
      <rPr>
        <b/>
        <sz val="12"/>
        <color rgb="FFFF0066"/>
        <rFont val="Calibri"/>
        <family val="2"/>
        <scheme val="minor"/>
      </rPr>
      <t>healthcare, food, and essential services</t>
    </r>
  </si>
  <si>
    <t>HealthCare</t>
  </si>
  <si>
    <t>Essential Services</t>
  </si>
  <si>
    <t>Essential services</t>
  </si>
  <si>
    <t>Rural ( Sector)</t>
  </si>
  <si>
    <t>Urban (Sector)</t>
  </si>
  <si>
    <t>Rural+Urban (Sector)</t>
  </si>
  <si>
    <t xml:space="preserve">5. Investigate how major global economic events (like imported oil price fluctuations) have influenced India's inflation. This can include an analysis of imported goods and their price trends. </t>
  </si>
  <si>
    <t>Average</t>
  </si>
  <si>
    <t>Ratio *</t>
  </si>
  <si>
    <t>2000-01</t>
  </si>
  <si>
    <t>57:43</t>
  </si>
  <si>
    <t>2001-02</t>
  </si>
  <si>
    <t>2002-03</t>
  </si>
  <si>
    <t>2003-04</t>
  </si>
  <si>
    <t>2004-05</t>
  </si>
  <si>
    <t>2005-06</t>
  </si>
  <si>
    <t>58:42</t>
  </si>
  <si>
    <t>2006-07</t>
  </si>
  <si>
    <t>59.8:40.2</t>
  </si>
  <si>
    <t>2007-08</t>
  </si>
  <si>
    <t>61.4:38.6</t>
  </si>
  <si>
    <t>2008-09</t>
  </si>
  <si>
    <t>62.3:37.7</t>
  </si>
  <si>
    <t>2009-10</t>
  </si>
  <si>
    <t>63.5:36.5</t>
  </si>
  <si>
    <t>2010-11</t>
  </si>
  <si>
    <t>67.6:32.4</t>
  </si>
  <si>
    <t>2011-12</t>
  </si>
  <si>
    <t>65.2:34.8</t>
  </si>
  <si>
    <t>2012-13</t>
  </si>
  <si>
    <t>68.2:31.8</t>
  </si>
  <si>
    <t>2013-14</t>
  </si>
  <si>
    <t>69.9:30.1</t>
  </si>
  <si>
    <t>2014-15</t>
  </si>
  <si>
    <t>72.04:27.96</t>
  </si>
  <si>
    <t>2015-16</t>
  </si>
  <si>
    <t>72.28:27.72</t>
  </si>
  <si>
    <t>2016-17</t>
  </si>
  <si>
    <t>71.03:28.97</t>
  </si>
  <si>
    <t>2017-18</t>
  </si>
  <si>
    <t>72.38:27.62</t>
  </si>
  <si>
    <t>74.77:25.23</t>
  </si>
  <si>
    <t>75.50:24.50</t>
  </si>
  <si>
    <t>75.62:24.38</t>
  </si>
  <si>
    <t>2023-24</t>
  </si>
  <si>
    <t>2024-25</t>
  </si>
  <si>
    <t>78.50:21.50</t>
  </si>
  <si>
    <t>Oil Prices</t>
  </si>
  <si>
    <t>Date</t>
  </si>
  <si>
    <t xml:space="preserve">Rural CPI Inflation </t>
  </si>
  <si>
    <t>Correlation</t>
  </si>
  <si>
    <t xml:space="preserve">Urban CPI Inflation </t>
  </si>
  <si>
    <t xml:space="preserve">Urban+Rural CPI Inflation </t>
  </si>
  <si>
    <r>
      <t>We have colored the Increased inflation of a price category in</t>
    </r>
    <r>
      <rPr>
        <b/>
        <sz val="11"/>
        <color rgb="FFFF0000"/>
        <rFont val="Calibri"/>
        <family val="2"/>
        <scheme val="minor"/>
      </rPr>
      <t xml:space="preserve"> RED</t>
    </r>
    <r>
      <rPr>
        <b/>
        <sz val="11"/>
        <color theme="1"/>
        <rFont val="Calibri"/>
        <family val="2"/>
        <scheme val="minor"/>
      </rPr>
      <t xml:space="preserve">. </t>
    </r>
  </si>
  <si>
    <r>
      <t xml:space="preserve">We have colored the decreased inflation of a price category in </t>
    </r>
    <r>
      <rPr>
        <b/>
        <sz val="11"/>
        <color rgb="FF00B050"/>
        <rFont val="Calibri"/>
        <family val="2"/>
        <scheme val="minor"/>
      </rPr>
      <t>GREEN</t>
    </r>
    <r>
      <rPr>
        <b/>
        <sz val="11"/>
        <color theme="1"/>
        <rFont val="Calibri"/>
        <family val="2"/>
        <scheme val="minor"/>
      </rPr>
      <t xml:space="preserve">. </t>
    </r>
  </si>
  <si>
    <t>a. For the purpose of this analysis, focus only on the imported oil price fluctuations for years 2021 to 2023 (Month-on-month)</t>
  </si>
  <si>
    <t xml:space="preserve">    b.  Identify trends in oil price change with change in inflation prices of all the categories and identify category whose inflation prices strongly changes with fluctuations in  imported oil price.</t>
  </si>
  <si>
    <t>OIL Prices taken from (PPAC.GOV) for crude prices.</t>
  </si>
  <si>
    <t>The year the CPI data was recorded</t>
  </si>
  <si>
    <t>The month corresponding to the CPI data.</t>
  </si>
  <si>
    <t>Price index for cereals and related products.</t>
  </si>
  <si>
    <t>Price index for meat and fish products.</t>
  </si>
  <si>
    <t>Represents various categories of goods and services for Rural, Urban, Rural+Urban.</t>
  </si>
  <si>
    <t>Price index for eggs.</t>
  </si>
  <si>
    <t>Price index for milk and dairy products.</t>
  </si>
  <si>
    <t>Price index for oils and fats.</t>
  </si>
  <si>
    <t>Price index for fruits.</t>
  </si>
  <si>
    <t>Price index for vegetables.</t>
  </si>
  <si>
    <t>Price index for footwear.</t>
  </si>
  <si>
    <t>Price index for clothing and footwear.</t>
  </si>
  <si>
    <t>Price index for fuel and light.</t>
  </si>
  <si>
    <t>Price index for pulses (lentils, bean) and products.</t>
  </si>
  <si>
    <t>Price index for sugar and Confectionery.</t>
  </si>
  <si>
    <t>Price index for spices like turmeric, pepper, etc.</t>
  </si>
  <si>
    <t>Price index for non-alcoholic drinks (tea, coffee, etc.).</t>
  </si>
  <si>
    <t>Price index for prepared meals, snacks, and sweets.</t>
  </si>
  <si>
    <t>Overall index for food and beverages.</t>
  </si>
  <si>
    <t>Price index for pan, tobacco products, and alcohol.</t>
  </si>
  <si>
    <t>Price index for clothing items.</t>
  </si>
  <si>
    <t>Price index for housing-related items. (Rent, Maintainence)</t>
  </si>
  <si>
    <t>Price index for household goods and services (cleaning, repairs).</t>
  </si>
  <si>
    <t>Price index for health (medications, doctor visits).</t>
  </si>
  <si>
    <t>Price index for transport (vehicles, fuel) and communication  (phone, internet).</t>
  </si>
  <si>
    <t>Price index for recreation and amusement  (movies, sports).</t>
  </si>
  <si>
    <t>Price index for education &amp; related expenses (tuition, books).</t>
  </si>
  <si>
    <t>Price index for personal care items (cosmetics, grooming).</t>
  </si>
  <si>
    <t>Price index for miscellaneous goods and services.</t>
  </si>
  <si>
    <t>The overall inflation index that combines all categories</t>
  </si>
  <si>
    <t>No corrections was done in this column.</t>
  </si>
  <si>
    <t>No corrections was made in this column.</t>
  </si>
  <si>
    <t>Missing values was handled by moving averages.</t>
  </si>
  <si>
    <t xml:space="preserve">Missing values was handled by moving averages for May 2020 </t>
  </si>
  <si>
    <t>Missing values was handled by moving averages for April, May 2020.</t>
  </si>
  <si>
    <t>For 12 months period May 2022-23</t>
  </si>
  <si>
    <t>Rural MoM%</t>
  </si>
  <si>
    <t>Urban MoM%</t>
  </si>
  <si>
    <t>Rural+Urban MoM%</t>
  </si>
  <si>
    <t>Notes: The corrections that were made in the data, for solving the problem statement.</t>
  </si>
  <si>
    <t>Highest Inflation in year 2019</t>
  </si>
  <si>
    <t>We are doing it for Healthcare, Food, and Essential services for Rural, Urban and Rural+Urban.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</si>
</sst>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"/>
    <numFmt numFmtId="165" formatCode="0.0%"/>
    <numFmt numFmtId="166" formatCode="mmmm"/>
  </numFmts>
  <fonts count="37" x14ac:knownFonts="1">
    <font>
      <sz val="11"/>
      <color theme="1"/>
      <name val="Calibri"/>
      <family val="2"/>
      <scheme val="minor"/>
    </font>
    <font>
      <b/>
      <sz val="12"/>
      <color theme="1"/>
      <name val="Tahoma"/>
      <family val="2"/>
    </font>
    <font>
      <sz val="11"/>
      <color theme="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2"/>
      <color theme="7"/>
      <name val="Calibri"/>
      <family val="2"/>
      <scheme val="minor"/>
    </font>
    <font>
      <b/>
      <sz val="12"/>
      <color theme="7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FF0000"/>
      <name val="Tahoma"/>
      <family val="2"/>
    </font>
    <font>
      <sz val="11"/>
      <color theme="9"/>
      <name val="Tahoma"/>
      <family val="2"/>
    </font>
    <font>
      <sz val="12"/>
      <color theme="1"/>
      <name val="Tahoma"/>
      <family val="2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rgb="FF9933FF"/>
      <name val="Calibri"/>
      <family val="2"/>
      <scheme val="minor"/>
    </font>
    <font>
      <sz val="11"/>
      <color rgb="FFFF3399"/>
      <name val="Calibri"/>
      <family val="2"/>
      <scheme val="minor"/>
    </font>
    <font>
      <b/>
      <sz val="11"/>
      <color theme="1"/>
      <name val="Tahoma"/>
      <family val="2"/>
    </font>
    <font>
      <b/>
      <sz val="12"/>
      <color rgb="FFFF006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9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4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66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FF3399"/>
      <name val="Calibri"/>
      <family val="2"/>
      <scheme val="minor"/>
    </font>
    <font>
      <sz val="10"/>
      <color theme="1"/>
      <name val="Tahoma"/>
      <family val="2"/>
    </font>
    <font>
      <sz val="8"/>
      <name val="Calibri"/>
      <family val="2"/>
      <scheme val="minor"/>
    </font>
    <font>
      <sz val="11"/>
      <color rgb="FF00B05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2" borderId="1">
      <alignment horizontal="center" vertical="center"/>
    </xf>
    <xf numFmtId="0" fontId="2" fillId="0" borderId="1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1" fillId="0" borderId="0"/>
  </cellStyleXfs>
  <cellXfs count="85">
    <xf numFmtId="0" fontId="0" fillId="0" borderId="0" xfId="0"/>
    <xf numFmtId="0" fontId="1" fillId="2" borderId="1" xfId="1">
      <alignment horizontal="center" vertical="center"/>
    </xf>
    <xf numFmtId="0" fontId="2" fillId="0" borderId="1" xfId="2"/>
    <xf numFmtId="164" fontId="2" fillId="0" borderId="1" xfId="2" applyNumberFormat="1"/>
    <xf numFmtId="0" fontId="4" fillId="0" borderId="0" xfId="0" applyFont="1"/>
    <xf numFmtId="17" fontId="4" fillId="0" borderId="0" xfId="0" applyNumberFormat="1" applyFont="1"/>
    <xf numFmtId="165" fontId="0" fillId="0" borderId="0" xfId="3" applyNumberFormat="1" applyFont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indent="2"/>
    </xf>
    <xf numFmtId="165" fontId="2" fillId="0" borderId="1" xfId="3" applyNumberFormat="1" applyFont="1" applyBorder="1"/>
    <xf numFmtId="0" fontId="8" fillId="0" borderId="0" xfId="0" applyFont="1" applyAlignment="1">
      <alignment horizontal="left" vertical="center" indent="2"/>
    </xf>
    <xf numFmtId="165" fontId="9" fillId="0" borderId="1" xfId="3" applyNumberFormat="1" applyFont="1" applyBorder="1"/>
    <xf numFmtId="165" fontId="10" fillId="0" borderId="1" xfId="3" applyNumberFormat="1" applyFont="1" applyBorder="1"/>
    <xf numFmtId="0" fontId="11" fillId="3" borderId="1" xfId="1" applyFont="1" applyFill="1">
      <alignment horizontal="center" vertical="center"/>
    </xf>
    <xf numFmtId="0" fontId="12" fillId="0" borderId="0" xfId="0" applyFont="1" applyAlignment="1">
      <alignment horizontal="left" vertical="center" indent="1"/>
    </xf>
    <xf numFmtId="0" fontId="13" fillId="0" borderId="0" xfId="0" applyFont="1"/>
    <xf numFmtId="0" fontId="12" fillId="0" borderId="0" xfId="0" applyFont="1" applyAlignment="1">
      <alignment horizontal="left" vertical="center" indent="2"/>
    </xf>
    <xf numFmtId="0" fontId="14" fillId="0" borderId="0" xfId="0" applyFont="1"/>
    <xf numFmtId="0" fontId="7" fillId="0" borderId="0" xfId="0" applyFont="1"/>
    <xf numFmtId="0" fontId="15" fillId="0" borderId="0" xfId="0" applyFont="1"/>
    <xf numFmtId="0" fontId="16" fillId="0" borderId="0" xfId="0" applyFont="1"/>
    <xf numFmtId="0" fontId="17" fillId="0" borderId="1" xfId="2" applyFont="1"/>
    <xf numFmtId="0" fontId="18" fillId="0" borderId="0" xfId="0" applyFont="1"/>
    <xf numFmtId="0" fontId="1" fillId="0" borderId="0" xfId="0" applyFont="1"/>
    <xf numFmtId="0" fontId="1" fillId="0" borderId="0" xfId="2" applyFont="1" applyBorder="1"/>
    <xf numFmtId="0" fontId="20" fillId="0" borderId="0" xfId="0" applyFont="1"/>
    <xf numFmtId="166" fontId="22" fillId="4" borderId="1" xfId="5" applyNumberFormat="1" applyFont="1" applyFill="1" applyBorder="1" applyAlignment="1">
      <alignment horizontal="left" vertical="center"/>
    </xf>
    <xf numFmtId="166" fontId="22" fillId="4" borderId="1" xfId="5" applyNumberFormat="1" applyFont="1" applyFill="1" applyBorder="1" applyAlignment="1">
      <alignment horizontal="right" vertical="center"/>
    </xf>
    <xf numFmtId="166" fontId="22" fillId="0" borderId="1" xfId="5" quotePrefix="1" applyNumberFormat="1" applyFont="1" applyBorder="1" applyAlignment="1">
      <alignment horizontal="left" vertical="center"/>
    </xf>
    <xf numFmtId="4" fontId="23" fillId="0" borderId="1" xfId="0" applyNumberFormat="1" applyFont="1" applyBorder="1" applyAlignment="1">
      <alignment horizontal="right" vertical="center"/>
    </xf>
    <xf numFmtId="4" fontId="24" fillId="0" borderId="1" xfId="0" applyNumberFormat="1" applyFont="1" applyBorder="1" applyAlignment="1">
      <alignment horizontal="right" vertical="center"/>
    </xf>
    <xf numFmtId="49" fontId="24" fillId="0" borderId="1" xfId="0" applyNumberFormat="1" applyFont="1" applyBorder="1" applyAlignment="1">
      <alignment horizontal="right" vertical="center"/>
    </xf>
    <xf numFmtId="166" fontId="22" fillId="0" borderId="1" xfId="5" applyNumberFormat="1" applyFont="1" applyBorder="1" applyAlignment="1">
      <alignment horizontal="left" vertical="center"/>
    </xf>
    <xf numFmtId="4" fontId="23" fillId="5" borderId="1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horizontal="left" vertical="center" indent="2"/>
    </xf>
    <xf numFmtId="4" fontId="23" fillId="3" borderId="1" xfId="0" applyNumberFormat="1" applyFont="1" applyFill="1" applyBorder="1" applyAlignment="1">
      <alignment horizontal="right" vertical="center"/>
    </xf>
    <xf numFmtId="17" fontId="0" fillId="0" borderId="1" xfId="0" applyNumberFormat="1" applyBorder="1"/>
    <xf numFmtId="0" fontId="29" fillId="0" borderId="0" xfId="0" applyFont="1"/>
    <xf numFmtId="0" fontId="0" fillId="0" borderId="1" xfId="0" applyBorder="1"/>
    <xf numFmtId="165" fontId="2" fillId="0" borderId="0" xfId="3" applyNumberFormat="1" applyFont="1" applyBorder="1"/>
    <xf numFmtId="165" fontId="0" fillId="0" borderId="0" xfId="3" applyNumberFormat="1" applyFont="1" applyBorder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1" xfId="2" applyFont="1"/>
    <xf numFmtId="0" fontId="9" fillId="0" borderId="0" xfId="2" applyFont="1" applyBorder="1"/>
    <xf numFmtId="0" fontId="1" fillId="2" borderId="2" xfId="1" applyBorder="1">
      <alignment horizontal="center" vertical="center"/>
    </xf>
    <xf numFmtId="0" fontId="1" fillId="3" borderId="0" xfId="1" applyFill="1" applyBorder="1">
      <alignment horizontal="center" vertical="center"/>
    </xf>
    <xf numFmtId="9" fontId="0" fillId="0" borderId="1" xfId="3" applyFont="1" applyBorder="1"/>
    <xf numFmtId="9" fontId="26" fillId="0" borderId="1" xfId="3" applyFont="1" applyBorder="1"/>
    <xf numFmtId="9" fontId="19" fillId="0" borderId="1" xfId="3" applyFont="1" applyBorder="1"/>
    <xf numFmtId="1" fontId="2" fillId="6" borderId="1" xfId="2" applyNumberFormat="1" applyFill="1"/>
    <xf numFmtId="0" fontId="2" fillId="6" borderId="1" xfId="2" applyFill="1"/>
    <xf numFmtId="0" fontId="2" fillId="7" borderId="1" xfId="2" applyFill="1"/>
    <xf numFmtId="0" fontId="2" fillId="8" borderId="1" xfId="2" applyFill="1"/>
    <xf numFmtId="165" fontId="2" fillId="7" borderId="1" xfId="3" applyNumberFormat="1" applyFont="1" applyFill="1" applyBorder="1"/>
    <xf numFmtId="165" fontId="2" fillId="7" borderId="2" xfId="3" applyNumberFormat="1" applyFont="1" applyFill="1" applyBorder="1"/>
    <xf numFmtId="165" fontId="0" fillId="7" borderId="1" xfId="3" applyNumberFormat="1" applyFont="1" applyFill="1" applyBorder="1"/>
    <xf numFmtId="165" fontId="0" fillId="7" borderId="2" xfId="3" applyNumberFormat="1" applyFont="1" applyFill="1" applyBorder="1"/>
    <xf numFmtId="165" fontId="0" fillId="8" borderId="1" xfId="3" applyNumberFormat="1" applyFont="1" applyFill="1" applyBorder="1"/>
    <xf numFmtId="165" fontId="0" fillId="8" borderId="2" xfId="3" applyNumberFormat="1" applyFont="1" applyFill="1" applyBorder="1"/>
    <xf numFmtId="9" fontId="2" fillId="8" borderId="1" xfId="3" applyFont="1" applyFill="1" applyBorder="1"/>
    <xf numFmtId="165" fontId="2" fillId="8" borderId="1" xfId="3" applyNumberFormat="1" applyFont="1" applyFill="1" applyBorder="1"/>
    <xf numFmtId="165" fontId="2" fillId="8" borderId="2" xfId="3" applyNumberFormat="1" applyFont="1" applyFill="1" applyBorder="1"/>
    <xf numFmtId="165" fontId="2" fillId="6" borderId="1" xfId="3" applyNumberFormat="1" applyFont="1" applyFill="1" applyBorder="1"/>
    <xf numFmtId="165" fontId="2" fillId="6" borderId="2" xfId="3" applyNumberFormat="1" applyFont="1" applyFill="1" applyBorder="1"/>
    <xf numFmtId="165" fontId="0" fillId="6" borderId="1" xfId="3" applyNumberFormat="1" applyFont="1" applyFill="1" applyBorder="1"/>
    <xf numFmtId="165" fontId="0" fillId="6" borderId="2" xfId="3" applyNumberFormat="1" applyFont="1" applyFill="1" applyBorder="1"/>
    <xf numFmtId="0" fontId="17" fillId="6" borderId="1" xfId="2" applyFont="1" applyFill="1"/>
    <xf numFmtId="0" fontId="17" fillId="7" borderId="1" xfId="2" applyFont="1" applyFill="1"/>
    <xf numFmtId="0" fontId="17" fillId="8" borderId="1" xfId="2" applyFont="1" applyFill="1"/>
    <xf numFmtId="0" fontId="4" fillId="0" borderId="1" xfId="0" applyFont="1" applyBorder="1"/>
    <xf numFmtId="43" fontId="0" fillId="0" borderId="1" xfId="4" applyFont="1" applyBorder="1"/>
    <xf numFmtId="43" fontId="19" fillId="0" borderId="1" xfId="4" applyFont="1" applyBorder="1"/>
    <xf numFmtId="43" fontId="26" fillId="0" borderId="1" xfId="4" applyFont="1" applyBorder="1"/>
    <xf numFmtId="0" fontId="19" fillId="0" borderId="1" xfId="0" applyFont="1" applyBorder="1"/>
    <xf numFmtId="165" fontId="0" fillId="0" borderId="1" xfId="3" applyNumberFormat="1" applyFont="1" applyBorder="1"/>
    <xf numFmtId="0" fontId="2" fillId="2" borderId="1" xfId="2" applyFill="1"/>
    <xf numFmtId="0" fontId="2" fillId="9" borderId="1" xfId="2" applyFill="1"/>
    <xf numFmtId="165" fontId="0" fillId="10" borderId="1" xfId="3" applyNumberFormat="1" applyFont="1" applyFill="1" applyBorder="1"/>
    <xf numFmtId="0" fontId="0" fillId="0" borderId="1" xfId="3" applyNumberFormat="1" applyFont="1" applyBorder="1"/>
    <xf numFmtId="165" fontId="36" fillId="0" borderId="1" xfId="3" applyNumberFormat="1" applyFont="1" applyBorder="1"/>
    <xf numFmtId="43" fontId="3" fillId="0" borderId="1" xfId="4" applyFont="1" applyBorder="1"/>
  </cellXfs>
  <cellStyles count="6">
    <cellStyle name="Body" xfId="2" xr:uid="{9FB592CC-35FF-4D0D-A804-38120034691E}"/>
    <cellStyle name="Comma" xfId="4" builtinId="3"/>
    <cellStyle name="Heading" xfId="1" xr:uid="{44E8BF7C-98C6-47A9-AF6E-C5F37F86976D}"/>
    <cellStyle name="Normal" xfId="0" builtinId="0"/>
    <cellStyle name="Normal 4" xfId="5" xr:uid="{8AF27E63-0EE8-4AD2-A563-993F190A12B1}"/>
    <cellStyle name="Percent" xfId="3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3399"/>
      <color rgb="FFFF0066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Highest</a:t>
            </a:r>
            <a:r>
              <a:rPr lang="en-IN" baseline="0"/>
              <a:t> Contribution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'PS1'!$I$6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14A27B2-22A6-40D3-8DB8-69FC4A8483F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72ED154-46C5-4788-88DE-F4EE8BECA0FF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2B8886DC-0DE0-49B9-A21E-7416DD7F9474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235-4978-A638-C00C670F720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969FB4A-BB06-4E75-B851-27A7C29F3BF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4BF89E1-88F7-45D6-9AD7-C413B8E2798B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70E9E483-28A2-4113-BC8A-1723754F0561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235-4978-A638-C00C670F720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20F622B-A665-4C5E-A231-12B240D0A54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38C2167-1DBD-43E9-8EAE-85A203B4A210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5F0F6E53-8717-44A6-BA36-2E6A73CE049F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235-4978-A638-C00C670F720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00B4E8D-638E-4F6C-B960-8E1E0C3FB39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CD27DEE-1007-4770-B2C2-F17486221C28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15EC106F-D305-4BE9-A5F5-489AA76106CF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235-4978-A638-C00C670F720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6298132-2841-42A7-A4E1-1D8A97F18AB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7670F6E-1C25-4379-8223-BA50D521E59E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EA31F06D-1BE9-4D56-A328-EB13A7DBFADC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235-4978-A638-C00C670F720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297520C-DB04-45D1-A265-83FFDB8AA31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174E354-C127-4308-838E-94C159103D4E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0AC84090-5737-4E7D-A6F3-0A36F84F6C1C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235-4978-A638-C00C670F720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strRef>
              <c:f>'PS1'!$H$7:$H$12</c:f>
              <c:strCache>
                <c:ptCount val="6"/>
                <c:pt idx="0">
                  <c:v>Food</c:v>
                </c:pt>
                <c:pt idx="1">
                  <c:v>Misc</c:v>
                </c:pt>
                <c:pt idx="2">
                  <c:v>Clothing</c:v>
                </c:pt>
                <c:pt idx="3">
                  <c:v>Housing</c:v>
                </c:pt>
                <c:pt idx="4">
                  <c:v>Energy</c:v>
                </c:pt>
                <c:pt idx="5">
                  <c:v>Health</c:v>
                </c:pt>
              </c:strCache>
            </c:strRef>
          </c:cat>
          <c:val>
            <c:numRef>
              <c:f>'PS1'!$I$7:$I$12</c:f>
              <c:numCache>
                <c:formatCode>General</c:formatCode>
                <c:ptCount val="6"/>
                <c:pt idx="0">
                  <c:v>2290.7000000000007</c:v>
                </c:pt>
                <c:pt idx="1">
                  <c:v>1088.0999999999999</c:v>
                </c:pt>
                <c:pt idx="2">
                  <c:v>569.90000000000009</c:v>
                </c:pt>
                <c:pt idx="3">
                  <c:v>179.8</c:v>
                </c:pt>
                <c:pt idx="4">
                  <c:v>182.5</c:v>
                </c:pt>
                <c:pt idx="5">
                  <c:v>187.8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'PS1'!$J$7:$J$13</c15:f>
                <c15:dlblRangeCache>
                  <c:ptCount val="7"/>
                  <c:pt idx="0">
                    <c:v>51%</c:v>
                  </c:pt>
                  <c:pt idx="1">
                    <c:v>24%</c:v>
                  </c:pt>
                  <c:pt idx="2">
                    <c:v>13%</c:v>
                  </c:pt>
                  <c:pt idx="3">
                    <c:v>4%</c:v>
                  </c:pt>
                  <c:pt idx="4">
                    <c:v>4%</c:v>
                  </c:pt>
                  <c:pt idx="5">
                    <c:v>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AA9-42CE-B688-D7B9917BE264}"/>
            </c:ext>
          </c:extLst>
        </c:ser>
        <c:ser>
          <c:idx val="2"/>
          <c:order val="2"/>
          <c:tx>
            <c:strRef>
              <c:f>'PS1'!$K$6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3C0A488-6FB7-4E9E-829B-3B521567C91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4BA6F66-DC2D-4694-8343-F453CD902C06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8F90B72B-EAAF-43D0-93C3-EB0C08F80391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235-4978-A638-C00C670F720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DE73D90-EE5D-459B-97CC-9DD334CC4E5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FE1CE5A-2D7F-418B-8943-AAB5E7702CAF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C9DB526D-05CC-4F76-8BF1-55B7471C9D93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235-4978-A638-C00C670F720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FFDBDF8-04DB-44C4-B243-778C6D15725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19F9B9B-080C-468A-BD25-4A7DA9BB78A6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78A9C26E-82AB-4DD0-B21A-5551B6949CB1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235-4978-A638-C00C670F720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55478FE-5C5B-4A1C-8A06-3149CC379DB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ACC3985-C1EF-4B78-86C0-426642EC5C10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BA45A14D-FF74-4832-9B49-8AC757BFAA05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235-4978-A638-C00C670F720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443C471-B866-4F0C-8AC1-0C694BCCF9D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4BD2276-0792-488F-A6BD-1CF419653697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BB972B59-CB2B-470E-A0B7-2F5475FC5897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235-4978-A638-C00C670F720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CD6B742-8610-457E-8F9B-EAC2E3CAE34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0718BA7-8DF3-449D-AAB7-B3B16DC104FF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A2A6E7D1-21D6-4E22-9430-1441944C35DD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235-4978-A638-C00C670F720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strRef>
              <c:f>'PS1'!$H$7:$H$12</c:f>
              <c:strCache>
                <c:ptCount val="6"/>
                <c:pt idx="0">
                  <c:v>Food</c:v>
                </c:pt>
                <c:pt idx="1">
                  <c:v>Misc</c:v>
                </c:pt>
                <c:pt idx="2">
                  <c:v>Clothing</c:v>
                </c:pt>
                <c:pt idx="3">
                  <c:v>Housing</c:v>
                </c:pt>
                <c:pt idx="4">
                  <c:v>Energy</c:v>
                </c:pt>
                <c:pt idx="5">
                  <c:v>Health</c:v>
                </c:pt>
              </c:strCache>
            </c:strRef>
          </c:cat>
          <c:val>
            <c:numRef>
              <c:f>'PS1'!$K$7:$K$12</c:f>
              <c:numCache>
                <c:formatCode>General</c:formatCode>
                <c:ptCount val="6"/>
                <c:pt idx="0">
                  <c:v>2335.1</c:v>
                </c:pt>
                <c:pt idx="1">
                  <c:v>1065.8</c:v>
                </c:pt>
                <c:pt idx="2">
                  <c:v>528.70000000000005</c:v>
                </c:pt>
                <c:pt idx="3">
                  <c:v>170.1</c:v>
                </c:pt>
                <c:pt idx="4">
                  <c:v>183.4</c:v>
                </c:pt>
                <c:pt idx="5">
                  <c:v>182.2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'PS1'!$L$7:$L$12</c15:f>
                <c15:dlblRangeCache>
                  <c:ptCount val="6"/>
                  <c:pt idx="0">
                    <c:v>52%</c:v>
                  </c:pt>
                  <c:pt idx="1">
                    <c:v>24%</c:v>
                  </c:pt>
                  <c:pt idx="2">
                    <c:v>12%</c:v>
                  </c:pt>
                  <c:pt idx="3">
                    <c:v>4%</c:v>
                  </c:pt>
                  <c:pt idx="4">
                    <c:v>4%</c:v>
                  </c:pt>
                  <c:pt idx="5">
                    <c:v>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9AA9-42CE-B688-D7B9917BE264}"/>
            </c:ext>
          </c:extLst>
        </c:ser>
        <c:ser>
          <c:idx val="4"/>
          <c:order val="4"/>
          <c:tx>
            <c:strRef>
              <c:f>'PS1'!$M$6</c:f>
              <c:strCache>
                <c:ptCount val="1"/>
                <c:pt idx="0">
                  <c:v>Rural+Urban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AF2B1C3-90FE-4FC7-BD56-CEB6FCD19D8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BB90B67-A567-42F1-8E5C-843BA167DE5F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8A14080E-6B88-4C15-94E6-2B248D755B83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235-4978-A638-C00C670F720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CAB3FF7-E14B-4402-A9BF-09CD9A8D0D1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3E3A7DB-8EB9-420B-B3D1-B0DE4A4D3AFA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230AF0C5-3752-4787-AEC1-8C1E85319245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235-4978-A638-C00C670F720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60F0124-EC08-4028-9014-8E89E7CCB49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3E6B593-7301-4101-92F2-A9292B895AF0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2E199955-1DFA-4ED9-B159-677B53426681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235-4978-A638-C00C670F720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FB57F60-FA9E-4189-8871-27F7E117387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72BCB78-3CAE-40F8-B180-9EB5E674B44C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65CADB12-6FAF-4C36-BF72-0E33F57158C5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B235-4978-A638-C00C670F720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D5E8841-15BB-45DE-9246-F1AE9E60586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957D064-9E72-4121-9ACE-6CC6C94D3E83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C3A87F30-5D66-4500-9BBD-95B0783EC341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B235-4978-A638-C00C670F720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AECEF2E-01E0-4357-81B0-65FE6704AC5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B14D26A-D065-464A-AE0E-694CFAA30FF8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4E1109A3-84C0-49E9-A034-342A758EE407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235-4978-A638-C00C670F720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strRef>
              <c:f>'PS1'!$H$7:$H$12</c:f>
              <c:strCache>
                <c:ptCount val="6"/>
                <c:pt idx="0">
                  <c:v>Food</c:v>
                </c:pt>
                <c:pt idx="1">
                  <c:v>Misc</c:v>
                </c:pt>
                <c:pt idx="2">
                  <c:v>Clothing</c:v>
                </c:pt>
                <c:pt idx="3">
                  <c:v>Housing</c:v>
                </c:pt>
                <c:pt idx="4">
                  <c:v>Energy</c:v>
                </c:pt>
                <c:pt idx="5">
                  <c:v>Health</c:v>
                </c:pt>
              </c:strCache>
            </c:strRef>
          </c:cat>
          <c:val>
            <c:numRef>
              <c:f>'PS1'!$M$7:$M$12</c:f>
              <c:numCache>
                <c:formatCode>General</c:formatCode>
                <c:ptCount val="6"/>
                <c:pt idx="0">
                  <c:v>2306.9</c:v>
                </c:pt>
                <c:pt idx="1">
                  <c:v>1075</c:v>
                </c:pt>
                <c:pt idx="2">
                  <c:v>553.20000000000005</c:v>
                </c:pt>
                <c:pt idx="3">
                  <c:v>175.2</c:v>
                </c:pt>
                <c:pt idx="4">
                  <c:v>182.8</c:v>
                </c:pt>
                <c:pt idx="5">
                  <c:v>185.7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'PS1'!$N$7:$N$12</c15:f>
                <c15:dlblRangeCache>
                  <c:ptCount val="6"/>
                  <c:pt idx="0">
                    <c:v>52%</c:v>
                  </c:pt>
                  <c:pt idx="1">
                    <c:v>24%</c:v>
                  </c:pt>
                  <c:pt idx="2">
                    <c:v>12%</c:v>
                  </c:pt>
                  <c:pt idx="3">
                    <c:v>4%</c:v>
                  </c:pt>
                  <c:pt idx="4">
                    <c:v>4%</c:v>
                  </c:pt>
                  <c:pt idx="5">
                    <c:v>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9AA9-42CE-B688-D7B9917BE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7"/>
        <c:overlap val="-47"/>
        <c:axId val="121077999"/>
        <c:axId val="12109095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'PS1'!$J$6</c15:sqref>
                        </c15:formulaRef>
                      </c:ext>
                    </c:extLst>
                    <c:strCache>
                      <c:ptCount val="1"/>
                      <c:pt idx="0">
                        <c:v>Rural%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solidFill>
                      <a:sysClr val="window" lastClr="FFFFFF"/>
                    </a:solidFill>
                    <a:ln>
                      <a:solidFill>
                        <a:sysClr val="windowText" lastClr="000000">
                          <a:lumMod val="25000"/>
                          <a:lumOff val="75000"/>
                        </a:sys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'PS1'!$H$7:$H$12</c15:sqref>
                        </c15:formulaRef>
                      </c:ext>
                    </c:extLst>
                    <c:strCache>
                      <c:ptCount val="6"/>
                      <c:pt idx="0">
                        <c:v>Food</c:v>
                      </c:pt>
                      <c:pt idx="1">
                        <c:v>Misc</c:v>
                      </c:pt>
                      <c:pt idx="2">
                        <c:v>Clothing</c:v>
                      </c:pt>
                      <c:pt idx="3">
                        <c:v>Housing</c:v>
                      </c:pt>
                      <c:pt idx="4">
                        <c:v>Energy</c:v>
                      </c:pt>
                      <c:pt idx="5">
                        <c:v>Health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'PS1'!$J$7:$J$12</c15:sqref>
                        </c15:formulaRef>
                      </c:ext>
                    </c:extLst>
                    <c:numCache>
                      <c:formatCode>0%</c:formatCode>
                      <c:ptCount val="6"/>
                      <c:pt idx="0">
                        <c:v>0.50918022583800127</c:v>
                      </c:pt>
                      <c:pt idx="1">
                        <c:v>0.24186449719925304</c:v>
                      </c:pt>
                      <c:pt idx="2">
                        <c:v>0.12667822530452563</c:v>
                      </c:pt>
                      <c:pt idx="3">
                        <c:v>3.9966213212412192E-2</c:v>
                      </c:pt>
                      <c:pt idx="4">
                        <c:v>4.0566373255090236E-2</c:v>
                      </c:pt>
                      <c:pt idx="5">
                        <c:v>4.174446519071752E-2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AA9-42CE-B688-D7B9917BE26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'PS1'!$L$6</c15:sqref>
                        </c15:formulaRef>
                      </c:ext>
                    </c:extLst>
                    <c:strCache>
                      <c:ptCount val="1"/>
                      <c:pt idx="0">
                        <c:v>Urban%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solidFill>
                      <a:sysClr val="window" lastClr="FFFFFF"/>
                    </a:solidFill>
                    <a:ln>
                      <a:solidFill>
                        <a:sysClr val="windowText" lastClr="000000">
                          <a:lumMod val="25000"/>
                          <a:lumOff val="75000"/>
                        </a:sys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LeaderLines val="0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'PS1'!$H$7:$H$12</c15:sqref>
                        </c15:formulaRef>
                      </c:ext>
                    </c:extLst>
                    <c:strCache>
                      <c:ptCount val="6"/>
                      <c:pt idx="0">
                        <c:v>Food</c:v>
                      </c:pt>
                      <c:pt idx="1">
                        <c:v>Misc</c:v>
                      </c:pt>
                      <c:pt idx="2">
                        <c:v>Clothing</c:v>
                      </c:pt>
                      <c:pt idx="3">
                        <c:v>Housing</c:v>
                      </c:pt>
                      <c:pt idx="4">
                        <c:v>Energy</c:v>
                      </c:pt>
                      <c:pt idx="5">
                        <c:v>Health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'PS1'!$L$7:$L$12</c15:sqref>
                        </c15:formulaRef>
                      </c:ext>
                    </c:extLst>
                    <c:numCache>
                      <c:formatCode>0%</c:formatCode>
                      <c:ptCount val="6"/>
                      <c:pt idx="0">
                        <c:v>0.52294358721698442</c:v>
                      </c:pt>
                      <c:pt idx="1">
                        <c:v>0.23868497077464004</c:v>
                      </c:pt>
                      <c:pt idx="2">
                        <c:v>0.11840189908852712</c:v>
                      </c:pt>
                      <c:pt idx="3">
                        <c:v>3.8093745101113033E-2</c:v>
                      </c:pt>
                      <c:pt idx="4">
                        <c:v>4.107226838062393E-2</c:v>
                      </c:pt>
                      <c:pt idx="5">
                        <c:v>4.0803529438111663E-2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AA9-42CE-B688-D7B9917BE26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'PS1'!$N$6</c15:sqref>
                        </c15:formulaRef>
                      </c:ext>
                    </c:extLst>
                    <c:strCache>
                      <c:ptCount val="1"/>
                      <c:pt idx="0">
                        <c:v>Rural+Urban%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solidFill>
                      <a:sysClr val="window" lastClr="FFFFFF"/>
                    </a:solidFill>
                    <a:ln>
                      <a:solidFill>
                        <a:sysClr val="windowText" lastClr="000000">
                          <a:lumMod val="25000"/>
                          <a:lumOff val="75000"/>
                        </a:sys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LeaderLines val="0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'PS1'!$H$7:$H$12</c15:sqref>
                        </c15:formulaRef>
                      </c:ext>
                    </c:extLst>
                    <c:strCache>
                      <c:ptCount val="6"/>
                      <c:pt idx="0">
                        <c:v>Food</c:v>
                      </c:pt>
                      <c:pt idx="1">
                        <c:v>Misc</c:v>
                      </c:pt>
                      <c:pt idx="2">
                        <c:v>Clothing</c:v>
                      </c:pt>
                      <c:pt idx="3">
                        <c:v>Housing</c:v>
                      </c:pt>
                      <c:pt idx="4">
                        <c:v>Energy</c:v>
                      </c:pt>
                      <c:pt idx="5">
                        <c:v>Health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'PS1'!$N$7:$N$12</c15:sqref>
                        </c15:formulaRef>
                      </c:ext>
                    </c:extLst>
                    <c:numCache>
                      <c:formatCode>0%</c:formatCode>
                      <c:ptCount val="6"/>
                      <c:pt idx="0">
                        <c:v>0.51507100116102522</c:v>
                      </c:pt>
                      <c:pt idx="1">
                        <c:v>0.24001964812003215</c:v>
                      </c:pt>
                      <c:pt idx="2">
                        <c:v>0.12351522729302493</c:v>
                      </c:pt>
                      <c:pt idx="3">
                        <c:v>3.9117620791283378E-2</c:v>
                      </c:pt>
                      <c:pt idx="4">
                        <c:v>4.081450388496919E-2</c:v>
                      </c:pt>
                      <c:pt idx="5">
                        <c:v>4.1461998749665087E-2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AA9-42CE-B688-D7B9917BE264}"/>
                  </c:ext>
                </c:extLst>
              </c15:ser>
            </c15:filteredBarSeries>
          </c:ext>
        </c:extLst>
      </c:barChart>
      <c:catAx>
        <c:axId val="12107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90959"/>
        <c:crosses val="autoZero"/>
        <c:auto val="1"/>
        <c:lblAlgn val="ctr"/>
        <c:lblOffset val="100"/>
        <c:noMultiLvlLbl val="0"/>
      </c:catAx>
      <c:valAx>
        <c:axId val="12109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7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YoY</a:t>
            </a:r>
            <a:r>
              <a:rPr lang="en-IN" baseline="0"/>
              <a:t> Comparison for Rural+Urban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'PS2'!$B$3:$B$4</c:f>
              <c:strCache>
                <c:ptCount val="2"/>
                <c:pt idx="0">
                  <c:v>(Rural+Urban)</c:v>
                </c:pt>
                <c:pt idx="1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'PS2'!$A$5:$A$10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'PS2'!$B$5:$B$10</c:f>
              <c:numCache>
                <c:formatCode>General</c:formatCode>
                <c:ptCount val="6"/>
                <c:pt idx="0">
                  <c:v>130.30000000000001</c:v>
                </c:pt>
                <c:pt idx="1">
                  <c:v>136.9</c:v>
                </c:pt>
                <c:pt idx="2">
                  <c:v>139.6</c:v>
                </c:pt>
                <c:pt idx="3">
                  <c:v>150.19999999999999</c:v>
                </c:pt>
                <c:pt idx="4">
                  <c:v>157.30000000000001</c:v>
                </c:pt>
                <c:pt idx="5">
                  <c:v>165.7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D-48DA-BB4C-CFCE149ABAE7}"/>
            </c:ext>
          </c:extLst>
        </c:ser>
        <c:ser>
          <c:idx val="1"/>
          <c:order val="1"/>
          <c:tx>
            <c:strRef>
              <c:f>'PS2'!$C$3:$C$4</c:f>
              <c:strCache>
                <c:ptCount val="2"/>
                <c:pt idx="0">
                  <c:v>(Rural+Urban)</c:v>
                </c:pt>
                <c:pt idx="1">
                  <c:v>Dec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'PS2'!$A$5:$A$10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'PS2'!$C$5:$C$10</c:f>
              <c:numCache>
                <c:formatCode>General</c:formatCode>
                <c:ptCount val="6"/>
                <c:pt idx="0">
                  <c:v>137.19999999999999</c:v>
                </c:pt>
                <c:pt idx="1">
                  <c:v>140.1</c:v>
                </c:pt>
                <c:pt idx="2">
                  <c:v>150.4</c:v>
                </c:pt>
                <c:pt idx="3">
                  <c:v>158.9</c:v>
                </c:pt>
                <c:pt idx="4">
                  <c:v>166.2</c:v>
                </c:pt>
                <c:pt idx="5">
                  <c:v>175.7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5D-48DA-BB4C-CFCE149AB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11535"/>
        <c:axId val="211912015"/>
      </c:barChart>
      <c:lineChart>
        <c:grouping val="standard"/>
        <c:varyColors val="0"/>
        <c:ser>
          <c:idx val="2"/>
          <c:order val="2"/>
          <c:tx>
            <c:strRef>
              <c:f>'PS2'!$D$3:$D$4</c:f>
              <c:strCache>
                <c:ptCount val="2"/>
                <c:pt idx="0">
                  <c:v>(Rural+Urban)</c:v>
                </c:pt>
                <c:pt idx="1">
                  <c:v>YoY% Change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'PS2'!$A$5:$A$10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'PS2'!$D$5:$D$10</c:f>
              <c:numCache>
                <c:formatCode>0.0%</c:formatCode>
                <c:ptCount val="6"/>
                <c:pt idx="0">
                  <c:v>5.295471987720627E-2</c:v>
                </c:pt>
                <c:pt idx="1">
                  <c:v>2.3374726077428697E-2</c:v>
                </c:pt>
                <c:pt idx="2">
                  <c:v>7.7363896848137617E-2</c:v>
                </c:pt>
                <c:pt idx="3">
                  <c:v>5.7922769640479481E-2</c:v>
                </c:pt>
                <c:pt idx="4">
                  <c:v>5.657978385251098E-2</c:v>
                </c:pt>
                <c:pt idx="5">
                  <c:v>6.0350030175015092E-2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5D-48DA-BB4C-CFCE149AB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238367"/>
        <c:axId val="211909135"/>
      </c:lineChart>
      <c:catAx>
        <c:axId val="21191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12015"/>
        <c:crosses val="autoZero"/>
        <c:auto val="1"/>
        <c:lblAlgn val="ctr"/>
        <c:lblOffset val="100"/>
        <c:noMultiLvlLbl val="0"/>
      </c:catAx>
      <c:valAx>
        <c:axId val="21191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11535"/>
        <c:crosses val="autoZero"/>
        <c:crossBetween val="between"/>
      </c:valAx>
      <c:valAx>
        <c:axId val="211909135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238367"/>
        <c:crosses val="max"/>
        <c:crossBetween val="between"/>
      </c:valAx>
      <c:catAx>
        <c:axId val="4122383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19091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577850</xdr:colOff>
      <xdr:row>14</xdr:row>
      <xdr:rowOff>57150</xdr:rowOff>
    </xdr:from>
    <xdr:to>
      <xdr:col>14</xdr:col>
      <xdr:colOff>346075</xdr:colOff>
      <xdr:row>31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9BF64F-7622-9143-1971-4392643AF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201084</xdr:colOff>
      <xdr:row>0</xdr:row>
      <xdr:rowOff>171802</xdr:rowOff>
    </xdr:from>
    <xdr:to>
      <xdr:col>24</xdr:col>
      <xdr:colOff>899583</xdr:colOff>
      <xdr:row>19</xdr:row>
      <xdr:rowOff>52916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C6306F-2E19-2D65-135E-490E7CABDA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F7EE10-D72D-49F4-9A84-E75198E5738E}" autoFormatId="16" applyNumberFormats="0" applyBorderFormats="0" applyFontFormats="0" applyPatternFormats="0" applyAlignmentFormats="0" applyWidthHeightFormats="0">
  <queryTableRefresh nextId="31">
    <queryTableFields count="30">
      <queryTableField id="1" name="Sector" tableColumnId="1"/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21" name="Housing" tableColumnId="2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9A0497-EF7C-4526-AD4D-3BA5A9D60709}" name="All_India_Index_Upto_April23_RAW_FILE" displayName="All_India_Index_Upto_April23_RAW_FILE" ref="A1:AD373" tableType="queryTable" totalsRowShown="0">
  <autoFilter ref="A1:AD373" xr:uid="{949A0497-EF7C-4526-AD4D-3BA5A9D60709}"/>
  <tableColumns count="30">
    <tableColumn id="1" xr3:uid="{9C0DFFED-92BA-4355-887F-55162C3CF4B3}" uniqueName="1" name="Sector" queryTableFieldId="1" dataDxfId="2"/>
    <tableColumn id="2" xr3:uid="{40F609E1-2EAA-483D-BA54-F4B557E6CE01}" uniqueName="2" name="Year" queryTableFieldId="2"/>
    <tableColumn id="3" xr3:uid="{32BD3FE4-CC14-4349-A4A0-4D5A404C7E9B}" uniqueName="3" name="Month" queryTableFieldId="3" dataDxfId="1"/>
    <tableColumn id="4" xr3:uid="{5469FCD2-82BA-470D-B0D1-5E28272BD3BB}" uniqueName="4" name="Cereals and products" queryTableFieldId="4"/>
    <tableColumn id="5" xr3:uid="{498D1E2C-DDE4-487C-BDF5-36BD6B63F42E}" uniqueName="5" name="Meat and fish" queryTableFieldId="5"/>
    <tableColumn id="6" xr3:uid="{0A35B8A2-B626-41AA-A2C7-B7A75BD85543}" uniqueName="6" name="Egg" queryTableFieldId="6"/>
    <tableColumn id="7" xr3:uid="{75CD356F-AFFE-4EFB-83FE-FC5436DEF4C4}" uniqueName="7" name="Milk and products" queryTableFieldId="7"/>
    <tableColumn id="8" xr3:uid="{302666F6-A383-4075-AE17-3F5B0E8ED27D}" uniqueName="8" name="Oils and fats" queryTableFieldId="8"/>
    <tableColumn id="9" xr3:uid="{CBD05069-EC08-4009-B1E5-1101CCF41231}" uniqueName="9" name="Fruits" queryTableFieldId="9"/>
    <tableColumn id="10" xr3:uid="{92369CFD-6318-4768-B9BA-F78C372ACC30}" uniqueName="10" name="Vegetables" queryTableFieldId="10"/>
    <tableColumn id="11" xr3:uid="{A0751806-7686-41BD-88F7-67CC090C85D2}" uniqueName="11" name="Pulses and products" queryTableFieldId="11"/>
    <tableColumn id="12" xr3:uid="{18194DA9-F6FA-4D10-89E2-36BC99659E41}" uniqueName="12" name="Sugar and Confectionery" queryTableFieldId="12"/>
    <tableColumn id="13" xr3:uid="{EBEC677C-FFC5-4606-B63A-9CC074C42C71}" uniqueName="13" name="Spices" queryTableFieldId="13"/>
    <tableColumn id="14" xr3:uid="{9BE7DC2B-E43B-47A8-A818-BDF68995E217}" uniqueName="14" name="Non-alcoholic beverages" queryTableFieldId="14"/>
    <tableColumn id="15" xr3:uid="{963FAA7C-6D0F-4AAE-A43C-45D70C0566CA}" uniqueName="15" name="Prepared meals, snacks, sweets etc." queryTableFieldId="15"/>
    <tableColumn id="16" xr3:uid="{3E9D9F5D-0B92-4E23-9877-5E5C4ED7D889}" uniqueName="16" name="Food and beverages" queryTableFieldId="16"/>
    <tableColumn id="17" xr3:uid="{2F1309CC-8668-4995-834D-FD3739350F6C}" uniqueName="17" name="Pan, tobacco and intoxicants" queryTableFieldId="17"/>
    <tableColumn id="18" xr3:uid="{50168930-6A7E-43E8-93D6-185406258663}" uniqueName="18" name="Clothing" queryTableFieldId="18"/>
    <tableColumn id="19" xr3:uid="{2CB349F0-DC24-4539-B807-7D94E53E41D7}" uniqueName="19" name="Footwear" queryTableFieldId="19"/>
    <tableColumn id="20" xr3:uid="{392DFB97-4D94-4E8C-BC13-4D80D1080BCA}" uniqueName="20" name="Clothing and footwear" queryTableFieldId="20"/>
    <tableColumn id="21" xr3:uid="{8A14CA95-6559-45DF-8DF5-C711C9F73A7C}" uniqueName="21" name="Housing" queryTableFieldId="21" dataDxfId="0"/>
    <tableColumn id="22" xr3:uid="{EE7B7868-C3C7-4235-B145-602452C8AD06}" uniqueName="22" name="Fuel and light" queryTableFieldId="22"/>
    <tableColumn id="23" xr3:uid="{72487B1E-7621-4317-81D1-351A1289188A}" uniqueName="23" name="Household goods and services" queryTableFieldId="23"/>
    <tableColumn id="24" xr3:uid="{8407B889-5BE3-42EB-8B41-49DF0283EDCA}" uniqueName="24" name="Health" queryTableFieldId="24"/>
    <tableColumn id="25" xr3:uid="{BF4FF399-1FCB-4A2E-8A4B-0A48253DE6C9}" uniqueName="25" name="Transport and communication" queryTableFieldId="25"/>
    <tableColumn id="26" xr3:uid="{4B964AFA-9CB7-4DFE-AF1C-8D838ED020FA}" uniqueName="26" name="Recreation and amusement" queryTableFieldId="26"/>
    <tableColumn id="27" xr3:uid="{04AAE6F6-5F31-4B23-9AC9-152CA5121E51}" uniqueName="27" name="Education" queryTableFieldId="27"/>
    <tableColumn id="28" xr3:uid="{84826A3F-EFC3-4622-B64C-F3CE1D6A04E8}" uniqueName="28" name="Personal care and effects" queryTableFieldId="28"/>
    <tableColumn id="29" xr3:uid="{AB7F45EB-235A-4866-B703-22D9B7F304B7}" uniqueName="29" name="Miscellaneous" queryTableFieldId="29"/>
    <tableColumn id="30" xr3:uid="{A85F8A79-5BAE-41A4-B210-49E8E1AE6046}" uniqueName="30" name="General index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FF602-7F69-40EC-8BE6-BB841A3F7801}">
  <dimension ref="A1:AD373"/>
  <sheetViews>
    <sheetView workbookViewId="0">
      <selection sqref="A1:AD373"/>
    </sheetView>
  </sheetViews>
  <sheetFormatPr defaultRowHeight="14.5" x14ac:dyDescent="0.35"/>
  <cols>
    <col min="1" max="1" width="11.36328125" bestFit="1" customWidth="1"/>
    <col min="2" max="2" width="6.81640625" bestFit="1" customWidth="1"/>
    <col min="3" max="3" width="10" bestFit="1" customWidth="1"/>
    <col min="4" max="4" width="20.90625" bestFit="1" customWidth="1"/>
    <col min="5" max="5" width="14.6328125" bestFit="1" customWidth="1"/>
    <col min="6" max="6" width="5.90625" bestFit="1" customWidth="1"/>
    <col min="7" max="7" width="18.36328125" bestFit="1" customWidth="1"/>
    <col min="8" max="8" width="13.453125" bestFit="1" customWidth="1"/>
    <col min="9" max="9" width="7.81640625" bestFit="1" customWidth="1"/>
    <col min="10" max="10" width="12.26953125" bestFit="1" customWidth="1"/>
    <col min="11" max="11" width="20.08984375" bestFit="1" customWidth="1"/>
    <col min="12" max="12" width="23.81640625" bestFit="1" customWidth="1"/>
    <col min="13" max="13" width="8.1796875" bestFit="1" customWidth="1"/>
    <col min="14" max="14" width="23.6328125" bestFit="1" customWidth="1"/>
    <col min="15" max="15" width="33.54296875" bestFit="1" customWidth="1"/>
    <col min="16" max="16" width="20" bestFit="1" customWidth="1"/>
    <col min="17" max="17" width="27.54296875" bestFit="1" customWidth="1"/>
    <col min="18" max="18" width="10" bestFit="1" customWidth="1"/>
    <col min="19" max="19" width="11.08984375" bestFit="1" customWidth="1"/>
    <col min="20" max="20" width="22" bestFit="1" customWidth="1"/>
    <col min="21" max="21" width="9.81640625" bestFit="1" customWidth="1"/>
    <col min="22" max="22" width="14.26953125" bestFit="1" customWidth="1"/>
    <col min="23" max="23" width="28.54296875" bestFit="1" customWidth="1"/>
    <col min="24" max="24" width="8.6328125" bestFit="1" customWidth="1"/>
    <col min="25" max="25" width="28.81640625" bestFit="1" customWidth="1"/>
    <col min="26" max="26" width="26.453125" bestFit="1" customWidth="1"/>
    <col min="27" max="27" width="11.453125" bestFit="1" customWidth="1"/>
    <col min="28" max="28" width="24.36328125" bestFit="1" customWidth="1"/>
    <col min="29" max="29" width="14.90625" bestFit="1" customWidth="1"/>
    <col min="30" max="30" width="14.63281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5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 t="s">
        <v>34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5">
      <c r="A4" t="s">
        <v>35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 t="s">
        <v>34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5">
      <c r="A5" t="s">
        <v>30</v>
      </c>
      <c r="B5">
        <v>2013</v>
      </c>
      <c r="C5" t="s">
        <v>36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5">
      <c r="A6" t="s">
        <v>33</v>
      </c>
      <c r="B6">
        <v>2013</v>
      </c>
      <c r="C6" t="s">
        <v>36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 t="s">
        <v>37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5">
      <c r="A7" t="s">
        <v>35</v>
      </c>
      <c r="B7">
        <v>2013</v>
      </c>
      <c r="C7" t="s">
        <v>36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 t="s">
        <v>37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5">
      <c r="A8" t="s">
        <v>30</v>
      </c>
      <c r="B8">
        <v>2013</v>
      </c>
      <c r="C8" t="s">
        <v>38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5">
      <c r="A9" t="s">
        <v>33</v>
      </c>
      <c r="B9">
        <v>2013</v>
      </c>
      <c r="C9" t="s">
        <v>38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 t="s">
        <v>37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5">
      <c r="A10" t="s">
        <v>35</v>
      </c>
      <c r="B10">
        <v>2013</v>
      </c>
      <c r="C10" t="s">
        <v>38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 t="s">
        <v>37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5">
      <c r="A11" t="s">
        <v>30</v>
      </c>
      <c r="B11">
        <v>2013</v>
      </c>
      <c r="C11" t="s">
        <v>39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5">
      <c r="A12" t="s">
        <v>33</v>
      </c>
      <c r="B12">
        <v>2013</v>
      </c>
      <c r="C12" t="s">
        <v>39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 t="s">
        <v>40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5">
      <c r="A13" t="s">
        <v>35</v>
      </c>
      <c r="B13">
        <v>2013</v>
      </c>
      <c r="C13" t="s">
        <v>39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 t="s">
        <v>40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5">
      <c r="A14" t="s">
        <v>30</v>
      </c>
      <c r="B14">
        <v>2013</v>
      </c>
      <c r="C14" t="s">
        <v>41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5">
      <c r="A15" t="s">
        <v>33</v>
      </c>
      <c r="B15">
        <v>2013</v>
      </c>
      <c r="C15" t="s">
        <v>41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 t="s">
        <v>40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5">
      <c r="A16" t="s">
        <v>35</v>
      </c>
      <c r="B16">
        <v>2013</v>
      </c>
      <c r="C16" t="s">
        <v>41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 t="s">
        <v>40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5">
      <c r="A17" t="s">
        <v>30</v>
      </c>
      <c r="B17">
        <v>2013</v>
      </c>
      <c r="C17" t="s">
        <v>42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5">
      <c r="A18" t="s">
        <v>33</v>
      </c>
      <c r="B18">
        <v>2013</v>
      </c>
      <c r="C18" t="s">
        <v>42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 t="s">
        <v>43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5">
      <c r="A19" t="s">
        <v>35</v>
      </c>
      <c r="B19">
        <v>2013</v>
      </c>
      <c r="C19" t="s">
        <v>42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 t="s">
        <v>43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5">
      <c r="A20" t="s">
        <v>30</v>
      </c>
      <c r="B20">
        <v>2013</v>
      </c>
      <c r="C20" t="s">
        <v>44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5">
      <c r="A21" t="s">
        <v>33</v>
      </c>
      <c r="B21">
        <v>2013</v>
      </c>
      <c r="C21" t="s">
        <v>44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 t="s">
        <v>45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5">
      <c r="A22" t="s">
        <v>35</v>
      </c>
      <c r="B22">
        <v>2013</v>
      </c>
      <c r="C22" t="s">
        <v>44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 t="s">
        <v>45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5">
      <c r="A23" t="s">
        <v>30</v>
      </c>
      <c r="B23">
        <v>2013</v>
      </c>
      <c r="C23" t="s">
        <v>46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5">
      <c r="A24" t="s">
        <v>33</v>
      </c>
      <c r="B24">
        <v>2013</v>
      </c>
      <c r="C24" t="s">
        <v>46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 t="s">
        <v>47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5">
      <c r="A25" t="s">
        <v>35</v>
      </c>
      <c r="B25">
        <v>2013</v>
      </c>
      <c r="C25" t="s">
        <v>46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 t="s">
        <v>47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5">
      <c r="A26" t="s">
        <v>30</v>
      </c>
      <c r="B26">
        <v>2013</v>
      </c>
      <c r="C26" t="s">
        <v>48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5">
      <c r="A27" t="s">
        <v>33</v>
      </c>
      <c r="B27">
        <v>2013</v>
      </c>
      <c r="C27" t="s">
        <v>48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 t="s">
        <v>49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5">
      <c r="A28" t="s">
        <v>35</v>
      </c>
      <c r="B28">
        <v>2013</v>
      </c>
      <c r="C28" t="s">
        <v>48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 t="s">
        <v>49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5">
      <c r="A29" t="s">
        <v>30</v>
      </c>
      <c r="B29">
        <v>2013</v>
      </c>
      <c r="C29" t="s">
        <v>50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5">
      <c r="A30" t="s">
        <v>33</v>
      </c>
      <c r="B30">
        <v>2013</v>
      </c>
      <c r="C30" t="s">
        <v>50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 t="s">
        <v>51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5">
      <c r="A31" t="s">
        <v>35</v>
      </c>
      <c r="B31">
        <v>2013</v>
      </c>
      <c r="C31" t="s">
        <v>50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 t="s">
        <v>51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5">
      <c r="A32" t="s">
        <v>30</v>
      </c>
      <c r="B32">
        <v>2013</v>
      </c>
      <c r="C32" t="s">
        <v>52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5">
      <c r="A33" t="s">
        <v>33</v>
      </c>
      <c r="B33">
        <v>2013</v>
      </c>
      <c r="C33" t="s">
        <v>53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 t="s">
        <v>54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5">
      <c r="A34" t="s">
        <v>35</v>
      </c>
      <c r="B34">
        <v>2013</v>
      </c>
      <c r="C34" t="s">
        <v>53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 t="s">
        <v>54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5">
      <c r="A35" t="s">
        <v>30</v>
      </c>
      <c r="B35">
        <v>2013</v>
      </c>
      <c r="C35" t="s">
        <v>55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5">
      <c r="A36" t="s">
        <v>33</v>
      </c>
      <c r="B36">
        <v>2013</v>
      </c>
      <c r="C36" t="s">
        <v>55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 t="s">
        <v>56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5">
      <c r="A37" t="s">
        <v>35</v>
      </c>
      <c r="B37">
        <v>2013</v>
      </c>
      <c r="C37" t="s">
        <v>55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 t="s">
        <v>56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5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 t="s">
        <v>57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5">
      <c r="A40" t="s">
        <v>35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 t="s">
        <v>57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5">
      <c r="A41" t="s">
        <v>30</v>
      </c>
      <c r="B41">
        <v>2014</v>
      </c>
      <c r="C41" t="s">
        <v>36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5">
      <c r="A42" t="s">
        <v>33</v>
      </c>
      <c r="B42">
        <v>2014</v>
      </c>
      <c r="C42" t="s">
        <v>36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 t="s">
        <v>58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5">
      <c r="A43" t="s">
        <v>35</v>
      </c>
      <c r="B43">
        <v>2014</v>
      </c>
      <c r="C43" t="s">
        <v>36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 t="s">
        <v>58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5">
      <c r="A44" t="s">
        <v>30</v>
      </c>
      <c r="B44">
        <v>2014</v>
      </c>
      <c r="C44" t="s">
        <v>38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5">
      <c r="A45" t="s">
        <v>33</v>
      </c>
      <c r="B45">
        <v>2014</v>
      </c>
      <c r="C45" t="s">
        <v>38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 t="s">
        <v>59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5">
      <c r="A46" t="s">
        <v>35</v>
      </c>
      <c r="B46">
        <v>2014</v>
      </c>
      <c r="C46" t="s">
        <v>60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 t="s">
        <v>59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5">
      <c r="A47" t="s">
        <v>30</v>
      </c>
      <c r="B47">
        <v>2014</v>
      </c>
      <c r="C47" t="s">
        <v>39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5">
      <c r="A48" t="s">
        <v>33</v>
      </c>
      <c r="B48">
        <v>2014</v>
      </c>
      <c r="C48" t="s">
        <v>39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 t="s">
        <v>61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5">
      <c r="A49" t="s">
        <v>35</v>
      </c>
      <c r="B49">
        <v>2014</v>
      </c>
      <c r="C49" t="s">
        <v>39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 t="s">
        <v>61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5">
      <c r="A50" t="s">
        <v>30</v>
      </c>
      <c r="B50">
        <v>2014</v>
      </c>
      <c r="C50" t="s">
        <v>41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5">
      <c r="A51" t="s">
        <v>33</v>
      </c>
      <c r="B51">
        <v>2014</v>
      </c>
      <c r="C51" t="s">
        <v>41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 t="s">
        <v>62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5">
      <c r="A52" t="s">
        <v>35</v>
      </c>
      <c r="B52">
        <v>2014</v>
      </c>
      <c r="C52" t="s">
        <v>41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 t="s">
        <v>62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5">
      <c r="A53" t="s">
        <v>30</v>
      </c>
      <c r="B53">
        <v>2014</v>
      </c>
      <c r="C53" t="s">
        <v>42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5">
      <c r="A54" t="s">
        <v>33</v>
      </c>
      <c r="B54">
        <v>2014</v>
      </c>
      <c r="C54" t="s">
        <v>42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 t="s">
        <v>61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5">
      <c r="A55" t="s">
        <v>35</v>
      </c>
      <c r="B55">
        <v>2014</v>
      </c>
      <c r="C55" t="s">
        <v>42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 t="s">
        <v>61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5">
      <c r="A56" t="s">
        <v>30</v>
      </c>
      <c r="B56">
        <v>2014</v>
      </c>
      <c r="C56" t="s">
        <v>44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5">
      <c r="A57" t="s">
        <v>33</v>
      </c>
      <c r="B57">
        <v>2014</v>
      </c>
      <c r="C57" t="s">
        <v>44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 t="s">
        <v>63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5">
      <c r="A58" t="s">
        <v>35</v>
      </c>
      <c r="B58">
        <v>2014</v>
      </c>
      <c r="C58" t="s">
        <v>44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 t="s">
        <v>63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5">
      <c r="A59" t="s">
        <v>30</v>
      </c>
      <c r="B59">
        <v>2014</v>
      </c>
      <c r="C59" t="s">
        <v>46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5">
      <c r="A60" t="s">
        <v>33</v>
      </c>
      <c r="B60">
        <v>2014</v>
      </c>
      <c r="C60" t="s">
        <v>46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 t="s">
        <v>64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5">
      <c r="A61" t="s">
        <v>35</v>
      </c>
      <c r="B61">
        <v>2014</v>
      </c>
      <c r="C61" t="s">
        <v>46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 t="s">
        <v>64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5">
      <c r="A62" t="s">
        <v>30</v>
      </c>
      <c r="B62">
        <v>2014</v>
      </c>
      <c r="C62" t="s">
        <v>48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5">
      <c r="A63" t="s">
        <v>33</v>
      </c>
      <c r="B63">
        <v>2014</v>
      </c>
      <c r="C63" t="s">
        <v>48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 t="s">
        <v>65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5">
      <c r="A64" t="s">
        <v>35</v>
      </c>
      <c r="B64">
        <v>2014</v>
      </c>
      <c r="C64" t="s">
        <v>48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 t="s">
        <v>65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5">
      <c r="A65" t="s">
        <v>30</v>
      </c>
      <c r="B65">
        <v>2014</v>
      </c>
      <c r="C65" t="s">
        <v>50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5">
      <c r="A66" t="s">
        <v>33</v>
      </c>
      <c r="B66">
        <v>2014</v>
      </c>
      <c r="C66" t="s">
        <v>50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 t="s">
        <v>66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5">
      <c r="A67" t="s">
        <v>35</v>
      </c>
      <c r="B67">
        <v>2014</v>
      </c>
      <c r="C67" t="s">
        <v>50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 t="s">
        <v>66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5">
      <c r="A68" t="s">
        <v>30</v>
      </c>
      <c r="B68">
        <v>2014</v>
      </c>
      <c r="C68" t="s">
        <v>53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5">
      <c r="A69" t="s">
        <v>33</v>
      </c>
      <c r="B69">
        <v>2014</v>
      </c>
      <c r="C69" t="s">
        <v>53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 t="s">
        <v>67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5">
      <c r="A70" t="s">
        <v>35</v>
      </c>
      <c r="B70">
        <v>2014</v>
      </c>
      <c r="C70" t="s">
        <v>53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 t="s">
        <v>67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5">
      <c r="A71" t="s">
        <v>30</v>
      </c>
      <c r="B71">
        <v>2014</v>
      </c>
      <c r="C71" t="s">
        <v>55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5">
      <c r="A72" t="s">
        <v>33</v>
      </c>
      <c r="B72">
        <v>2014</v>
      </c>
      <c r="C72" t="s">
        <v>55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 t="s">
        <v>68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5">
      <c r="A73" t="s">
        <v>35</v>
      </c>
      <c r="B73">
        <v>2014</v>
      </c>
      <c r="C73" t="s">
        <v>55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 t="s">
        <v>68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5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 t="s">
        <v>69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5">
      <c r="A76" t="s">
        <v>35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 t="s">
        <v>69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5">
      <c r="A77" t="s">
        <v>30</v>
      </c>
      <c r="B77">
        <v>2015</v>
      </c>
      <c r="C77" t="s">
        <v>36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5">
      <c r="A78" t="s">
        <v>33</v>
      </c>
      <c r="B78">
        <v>2015</v>
      </c>
      <c r="C78" t="s">
        <v>36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 t="s">
        <v>70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5">
      <c r="A79" t="s">
        <v>35</v>
      </c>
      <c r="B79">
        <v>2015</v>
      </c>
      <c r="C79" t="s">
        <v>36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 t="s">
        <v>70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5">
      <c r="A80" t="s">
        <v>30</v>
      </c>
      <c r="B80">
        <v>2015</v>
      </c>
      <c r="C80" t="s">
        <v>38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5">
      <c r="A81" t="s">
        <v>33</v>
      </c>
      <c r="B81">
        <v>2015</v>
      </c>
      <c r="C81" t="s">
        <v>38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 t="s">
        <v>71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5">
      <c r="A82" t="s">
        <v>35</v>
      </c>
      <c r="B82">
        <v>2015</v>
      </c>
      <c r="C82" t="s">
        <v>38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 t="s">
        <v>71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5">
      <c r="A83" t="s">
        <v>30</v>
      </c>
      <c r="B83">
        <v>2015</v>
      </c>
      <c r="C83" t="s">
        <v>39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5">
      <c r="A84" t="s">
        <v>33</v>
      </c>
      <c r="B84">
        <v>2015</v>
      </c>
      <c r="C84" t="s">
        <v>39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 t="s">
        <v>72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5">
      <c r="A85" t="s">
        <v>35</v>
      </c>
      <c r="B85">
        <v>2015</v>
      </c>
      <c r="C85" t="s">
        <v>39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 t="s">
        <v>72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5">
      <c r="A86" t="s">
        <v>30</v>
      </c>
      <c r="B86">
        <v>2015</v>
      </c>
      <c r="C86" t="s">
        <v>41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5">
      <c r="A87" t="s">
        <v>33</v>
      </c>
      <c r="B87">
        <v>2015</v>
      </c>
      <c r="C87" t="s">
        <v>41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 t="s">
        <v>73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5">
      <c r="A88" t="s">
        <v>35</v>
      </c>
      <c r="B88">
        <v>2015</v>
      </c>
      <c r="C88" t="s">
        <v>41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 t="s">
        <v>73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5">
      <c r="A89" t="s">
        <v>30</v>
      </c>
      <c r="B89">
        <v>2015</v>
      </c>
      <c r="C89" t="s">
        <v>42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5">
      <c r="A90" t="s">
        <v>33</v>
      </c>
      <c r="B90">
        <v>2015</v>
      </c>
      <c r="C90" t="s">
        <v>42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 t="s">
        <v>74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5">
      <c r="A91" t="s">
        <v>35</v>
      </c>
      <c r="B91">
        <v>2015</v>
      </c>
      <c r="C91" t="s">
        <v>42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 t="s">
        <v>74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5">
      <c r="A92" t="s">
        <v>30</v>
      </c>
      <c r="B92">
        <v>2015</v>
      </c>
      <c r="C92" t="s">
        <v>44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5">
      <c r="A93" t="s">
        <v>33</v>
      </c>
      <c r="B93">
        <v>2015</v>
      </c>
      <c r="C93" t="s">
        <v>44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 t="s">
        <v>75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5">
      <c r="A94" t="s">
        <v>35</v>
      </c>
      <c r="B94">
        <v>2015</v>
      </c>
      <c r="C94" t="s">
        <v>44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 t="s">
        <v>75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5">
      <c r="A95" t="s">
        <v>30</v>
      </c>
      <c r="B95">
        <v>2015</v>
      </c>
      <c r="C95" t="s">
        <v>46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5">
      <c r="A96" t="s">
        <v>33</v>
      </c>
      <c r="B96">
        <v>2015</v>
      </c>
      <c r="C96" t="s">
        <v>46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 t="s">
        <v>76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5">
      <c r="A97" t="s">
        <v>35</v>
      </c>
      <c r="B97">
        <v>2015</v>
      </c>
      <c r="C97" t="s">
        <v>46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 t="s">
        <v>76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5">
      <c r="A98" t="s">
        <v>30</v>
      </c>
      <c r="B98">
        <v>2015</v>
      </c>
      <c r="C98" t="s">
        <v>48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5">
      <c r="A99" t="s">
        <v>33</v>
      </c>
      <c r="B99">
        <v>2015</v>
      </c>
      <c r="C99" t="s">
        <v>48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 t="s">
        <v>77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5">
      <c r="A100" t="s">
        <v>35</v>
      </c>
      <c r="B100">
        <v>2015</v>
      </c>
      <c r="C100" t="s">
        <v>48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 t="s">
        <v>77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5">
      <c r="A101" t="s">
        <v>30</v>
      </c>
      <c r="B101">
        <v>2015</v>
      </c>
      <c r="C101" t="s">
        <v>50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5">
      <c r="A102" t="s">
        <v>33</v>
      </c>
      <c r="B102">
        <v>2015</v>
      </c>
      <c r="C102" t="s">
        <v>50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 t="s">
        <v>78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5">
      <c r="A103" t="s">
        <v>35</v>
      </c>
      <c r="B103">
        <v>2015</v>
      </c>
      <c r="C103" t="s">
        <v>50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 t="s">
        <v>78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5">
      <c r="A104" t="s">
        <v>30</v>
      </c>
      <c r="B104">
        <v>2015</v>
      </c>
      <c r="C104" t="s">
        <v>53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5">
      <c r="A105" t="s">
        <v>33</v>
      </c>
      <c r="B105">
        <v>2015</v>
      </c>
      <c r="C105" t="s">
        <v>53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 t="s">
        <v>79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5">
      <c r="A106" t="s">
        <v>35</v>
      </c>
      <c r="B106">
        <v>2015</v>
      </c>
      <c r="C106" t="s">
        <v>53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 t="s">
        <v>79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5">
      <c r="A107" t="s">
        <v>30</v>
      </c>
      <c r="B107">
        <v>2015</v>
      </c>
      <c r="C107" t="s">
        <v>55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5">
      <c r="A108" t="s">
        <v>33</v>
      </c>
      <c r="B108">
        <v>2015</v>
      </c>
      <c r="C108" t="s">
        <v>55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 t="s">
        <v>78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5">
      <c r="A109" t="s">
        <v>35</v>
      </c>
      <c r="B109">
        <v>2015</v>
      </c>
      <c r="C109" t="s">
        <v>55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 t="s">
        <v>78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5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 t="s">
        <v>80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5">
      <c r="A112" t="s">
        <v>35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 t="s">
        <v>80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5">
      <c r="A113" t="s">
        <v>30</v>
      </c>
      <c r="B113">
        <v>2016</v>
      </c>
      <c r="C113" t="s">
        <v>36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5">
      <c r="A114" t="s">
        <v>33</v>
      </c>
      <c r="B114">
        <v>2016</v>
      </c>
      <c r="C114" t="s">
        <v>36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 t="s">
        <v>81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5">
      <c r="A115" t="s">
        <v>35</v>
      </c>
      <c r="B115">
        <v>2016</v>
      </c>
      <c r="C115" t="s">
        <v>36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 t="s">
        <v>81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5">
      <c r="A116" t="s">
        <v>30</v>
      </c>
      <c r="B116">
        <v>2016</v>
      </c>
      <c r="C116" t="s">
        <v>38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5">
      <c r="A117" t="s">
        <v>33</v>
      </c>
      <c r="B117">
        <v>2016</v>
      </c>
      <c r="C117" t="s">
        <v>38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 t="s">
        <v>82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5">
      <c r="A118" t="s">
        <v>35</v>
      </c>
      <c r="B118">
        <v>2016</v>
      </c>
      <c r="C118" t="s">
        <v>38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 t="s">
        <v>82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5">
      <c r="A119" t="s">
        <v>30</v>
      </c>
      <c r="B119">
        <v>2016</v>
      </c>
      <c r="C119" t="s">
        <v>39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5">
      <c r="A120" t="s">
        <v>33</v>
      </c>
      <c r="B120">
        <v>2016</v>
      </c>
      <c r="C120" t="s">
        <v>39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 t="s">
        <v>83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5">
      <c r="A121" t="s">
        <v>35</v>
      </c>
      <c r="B121">
        <v>2016</v>
      </c>
      <c r="C121" t="s">
        <v>39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 t="s">
        <v>83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5">
      <c r="A122" t="s">
        <v>30</v>
      </c>
      <c r="B122">
        <v>2016</v>
      </c>
      <c r="C122" t="s">
        <v>41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5">
      <c r="A123" t="s">
        <v>33</v>
      </c>
      <c r="B123">
        <v>2016</v>
      </c>
      <c r="C123" t="s">
        <v>41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 t="s">
        <v>84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5">
      <c r="A124" t="s">
        <v>35</v>
      </c>
      <c r="B124">
        <v>2016</v>
      </c>
      <c r="C124" t="s">
        <v>41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 t="s">
        <v>84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5">
      <c r="A125" t="s">
        <v>30</v>
      </c>
      <c r="B125">
        <v>2016</v>
      </c>
      <c r="C125" t="s">
        <v>42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5">
      <c r="A126" t="s">
        <v>33</v>
      </c>
      <c r="B126">
        <v>2016</v>
      </c>
      <c r="C126" t="s">
        <v>42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 t="s">
        <v>85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5">
      <c r="A127" t="s">
        <v>35</v>
      </c>
      <c r="B127">
        <v>2016</v>
      </c>
      <c r="C127" t="s">
        <v>42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 t="s">
        <v>85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5">
      <c r="A128" t="s">
        <v>30</v>
      </c>
      <c r="B128">
        <v>2016</v>
      </c>
      <c r="C128" t="s">
        <v>44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5">
      <c r="A129" t="s">
        <v>33</v>
      </c>
      <c r="B129">
        <v>2016</v>
      </c>
      <c r="C129" t="s">
        <v>44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 t="s">
        <v>86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5">
      <c r="A130" t="s">
        <v>35</v>
      </c>
      <c r="B130">
        <v>2016</v>
      </c>
      <c r="C130" t="s">
        <v>44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 t="s">
        <v>86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5">
      <c r="A131" t="s">
        <v>30</v>
      </c>
      <c r="B131">
        <v>2016</v>
      </c>
      <c r="C131" t="s">
        <v>46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5">
      <c r="A132" t="s">
        <v>33</v>
      </c>
      <c r="B132">
        <v>2016</v>
      </c>
      <c r="C132" t="s">
        <v>46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 t="s">
        <v>87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5">
      <c r="A133" t="s">
        <v>35</v>
      </c>
      <c r="B133">
        <v>2016</v>
      </c>
      <c r="C133" t="s">
        <v>46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 t="s">
        <v>87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5">
      <c r="A134" t="s">
        <v>30</v>
      </c>
      <c r="B134">
        <v>2016</v>
      </c>
      <c r="C134" t="s">
        <v>48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5">
      <c r="A135" t="s">
        <v>33</v>
      </c>
      <c r="B135">
        <v>2016</v>
      </c>
      <c r="C135" t="s">
        <v>48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 t="s">
        <v>88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5">
      <c r="A136" t="s">
        <v>35</v>
      </c>
      <c r="B136">
        <v>2016</v>
      </c>
      <c r="C136" t="s">
        <v>48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 t="s">
        <v>88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5">
      <c r="A137" t="s">
        <v>30</v>
      </c>
      <c r="B137">
        <v>2016</v>
      </c>
      <c r="C137" t="s">
        <v>50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5">
      <c r="A138" t="s">
        <v>33</v>
      </c>
      <c r="B138">
        <v>2016</v>
      </c>
      <c r="C138" t="s">
        <v>50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 t="s">
        <v>89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5">
      <c r="A139" t="s">
        <v>35</v>
      </c>
      <c r="B139">
        <v>2016</v>
      </c>
      <c r="C139" t="s">
        <v>50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 t="s">
        <v>89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5">
      <c r="A140" t="s">
        <v>30</v>
      </c>
      <c r="B140">
        <v>2016</v>
      </c>
      <c r="C140" t="s">
        <v>53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5">
      <c r="A141" t="s">
        <v>33</v>
      </c>
      <c r="B141">
        <v>2016</v>
      </c>
      <c r="C141" t="s">
        <v>53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 t="s">
        <v>90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5">
      <c r="A142" t="s">
        <v>35</v>
      </c>
      <c r="B142">
        <v>2016</v>
      </c>
      <c r="C142" t="s">
        <v>53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 t="s">
        <v>90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5">
      <c r="A143" t="s">
        <v>30</v>
      </c>
      <c r="B143">
        <v>2016</v>
      </c>
      <c r="C143" t="s">
        <v>55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5">
      <c r="A144" t="s">
        <v>33</v>
      </c>
      <c r="B144">
        <v>2016</v>
      </c>
      <c r="C144" t="s">
        <v>55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 t="s">
        <v>91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5">
      <c r="A145" t="s">
        <v>35</v>
      </c>
      <c r="B145">
        <v>2016</v>
      </c>
      <c r="C145" t="s">
        <v>55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 t="s">
        <v>91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5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 t="s">
        <v>92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5">
      <c r="A148" t="s">
        <v>35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 t="s">
        <v>92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5">
      <c r="A149" t="s">
        <v>30</v>
      </c>
      <c r="B149">
        <v>2017</v>
      </c>
      <c r="C149" t="s">
        <v>36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5">
      <c r="A150" t="s">
        <v>33</v>
      </c>
      <c r="B150">
        <v>2017</v>
      </c>
      <c r="C150" t="s">
        <v>36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 t="s">
        <v>93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5">
      <c r="A151" t="s">
        <v>35</v>
      </c>
      <c r="B151">
        <v>2017</v>
      </c>
      <c r="C151" t="s">
        <v>36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 t="s">
        <v>93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5">
      <c r="A152" t="s">
        <v>30</v>
      </c>
      <c r="B152">
        <v>2017</v>
      </c>
      <c r="C152" t="s">
        <v>38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5">
      <c r="A153" t="s">
        <v>33</v>
      </c>
      <c r="B153">
        <v>2017</v>
      </c>
      <c r="C153" t="s">
        <v>38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 t="s">
        <v>94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5">
      <c r="A154" t="s">
        <v>35</v>
      </c>
      <c r="B154">
        <v>2017</v>
      </c>
      <c r="C154" t="s">
        <v>38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 t="s">
        <v>94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5">
      <c r="A155" t="s">
        <v>30</v>
      </c>
      <c r="B155">
        <v>2017</v>
      </c>
      <c r="C155" t="s">
        <v>39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5">
      <c r="A156" t="s">
        <v>33</v>
      </c>
      <c r="B156">
        <v>2017</v>
      </c>
      <c r="C156" t="s">
        <v>39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 t="s">
        <v>95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5">
      <c r="A157" t="s">
        <v>35</v>
      </c>
      <c r="B157">
        <v>2017</v>
      </c>
      <c r="C157" t="s">
        <v>39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 t="s">
        <v>95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5">
      <c r="A158" t="s">
        <v>30</v>
      </c>
      <c r="B158">
        <v>2017</v>
      </c>
      <c r="C158" t="s">
        <v>41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5">
      <c r="A159" t="s">
        <v>33</v>
      </c>
      <c r="B159">
        <v>2017</v>
      </c>
      <c r="C159" t="s">
        <v>41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 t="s">
        <v>96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5">
      <c r="A160" t="s">
        <v>35</v>
      </c>
      <c r="B160">
        <v>2017</v>
      </c>
      <c r="C160" t="s">
        <v>41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 t="s">
        <v>96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5">
      <c r="A161" t="s">
        <v>30</v>
      </c>
      <c r="B161">
        <v>2017</v>
      </c>
      <c r="C161" t="s">
        <v>42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5">
      <c r="A162" t="s">
        <v>33</v>
      </c>
      <c r="B162">
        <v>2017</v>
      </c>
      <c r="C162" t="s">
        <v>42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 t="s">
        <v>97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5">
      <c r="A163" t="s">
        <v>35</v>
      </c>
      <c r="B163">
        <v>2017</v>
      </c>
      <c r="C163" t="s">
        <v>42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 t="s">
        <v>97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5">
      <c r="A164" t="s">
        <v>30</v>
      </c>
      <c r="B164">
        <v>2017</v>
      </c>
      <c r="C164" t="s">
        <v>44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5">
      <c r="A165" t="s">
        <v>33</v>
      </c>
      <c r="B165">
        <v>2017</v>
      </c>
      <c r="C165" t="s">
        <v>44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 t="s">
        <v>98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5">
      <c r="A166" t="s">
        <v>35</v>
      </c>
      <c r="B166">
        <v>2017</v>
      </c>
      <c r="C166" t="s">
        <v>44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 t="s">
        <v>98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5">
      <c r="A167" t="s">
        <v>30</v>
      </c>
      <c r="B167">
        <v>2017</v>
      </c>
      <c r="C167" t="s">
        <v>46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5">
      <c r="A168" t="s">
        <v>33</v>
      </c>
      <c r="B168">
        <v>2017</v>
      </c>
      <c r="C168" t="s">
        <v>46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 t="s">
        <v>99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5">
      <c r="A169" t="s">
        <v>35</v>
      </c>
      <c r="B169">
        <v>2017</v>
      </c>
      <c r="C169" t="s">
        <v>46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 t="s">
        <v>99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5">
      <c r="A170" t="s">
        <v>30</v>
      </c>
      <c r="B170">
        <v>2017</v>
      </c>
      <c r="C170" t="s">
        <v>48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5">
      <c r="A171" t="s">
        <v>33</v>
      </c>
      <c r="B171">
        <v>2017</v>
      </c>
      <c r="C171" t="s">
        <v>48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 t="s">
        <v>100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5">
      <c r="A172" t="s">
        <v>35</v>
      </c>
      <c r="B172">
        <v>2017</v>
      </c>
      <c r="C172" t="s">
        <v>48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 t="s">
        <v>100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5">
      <c r="A173" t="s">
        <v>30</v>
      </c>
      <c r="B173">
        <v>2017</v>
      </c>
      <c r="C173" t="s">
        <v>50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5">
      <c r="A174" t="s">
        <v>33</v>
      </c>
      <c r="B174">
        <v>2017</v>
      </c>
      <c r="C174" t="s">
        <v>50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 t="s">
        <v>101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5">
      <c r="A175" t="s">
        <v>35</v>
      </c>
      <c r="B175">
        <v>2017</v>
      </c>
      <c r="C175" t="s">
        <v>50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 t="s">
        <v>101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5">
      <c r="A176" t="s">
        <v>30</v>
      </c>
      <c r="B176">
        <v>2017</v>
      </c>
      <c r="C176" t="s">
        <v>53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5">
      <c r="A177" t="s">
        <v>33</v>
      </c>
      <c r="B177">
        <v>2017</v>
      </c>
      <c r="C177" t="s">
        <v>53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 t="s">
        <v>102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5">
      <c r="A178" t="s">
        <v>35</v>
      </c>
      <c r="B178">
        <v>2017</v>
      </c>
      <c r="C178" t="s">
        <v>53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 t="s">
        <v>102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5">
      <c r="A179" t="s">
        <v>30</v>
      </c>
      <c r="B179">
        <v>2017</v>
      </c>
      <c r="C179" t="s">
        <v>55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5">
      <c r="A180" t="s">
        <v>33</v>
      </c>
      <c r="B180">
        <v>2017</v>
      </c>
      <c r="C180" t="s">
        <v>55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 t="s">
        <v>103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5">
      <c r="A181" t="s">
        <v>35</v>
      </c>
      <c r="B181">
        <v>2017</v>
      </c>
      <c r="C181" t="s">
        <v>55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 t="s">
        <v>103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5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 t="s">
        <v>104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5">
      <c r="A184" t="s">
        <v>35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 t="s">
        <v>104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5">
      <c r="A185" t="s">
        <v>30</v>
      </c>
      <c r="B185">
        <v>2018</v>
      </c>
      <c r="C185" t="s">
        <v>36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5">
      <c r="A186" t="s">
        <v>33</v>
      </c>
      <c r="B186">
        <v>2018</v>
      </c>
      <c r="C186" t="s">
        <v>36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 t="s">
        <v>105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5">
      <c r="A187" t="s">
        <v>35</v>
      </c>
      <c r="B187">
        <v>2018</v>
      </c>
      <c r="C187" t="s">
        <v>36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 t="s">
        <v>105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5">
      <c r="A188" t="s">
        <v>30</v>
      </c>
      <c r="B188">
        <v>2018</v>
      </c>
      <c r="C188" t="s">
        <v>38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5">
      <c r="A189" t="s">
        <v>33</v>
      </c>
      <c r="B189">
        <v>2018</v>
      </c>
      <c r="C189" t="s">
        <v>38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 t="s">
        <v>106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5">
      <c r="A190" t="s">
        <v>35</v>
      </c>
      <c r="B190">
        <v>2018</v>
      </c>
      <c r="C190" t="s">
        <v>38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 t="s">
        <v>106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5">
      <c r="A191" t="s">
        <v>30</v>
      </c>
      <c r="B191">
        <v>2018</v>
      </c>
      <c r="C191" t="s">
        <v>39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5">
      <c r="A192" t="s">
        <v>33</v>
      </c>
      <c r="B192">
        <v>2018</v>
      </c>
      <c r="C192" t="s">
        <v>39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 t="s">
        <v>107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5">
      <c r="A193" t="s">
        <v>35</v>
      </c>
      <c r="B193">
        <v>2018</v>
      </c>
      <c r="C193" t="s">
        <v>39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 t="s">
        <v>107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5">
      <c r="A194" t="s">
        <v>30</v>
      </c>
      <c r="B194">
        <v>2018</v>
      </c>
      <c r="C194" t="s">
        <v>41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5">
      <c r="A195" t="s">
        <v>33</v>
      </c>
      <c r="B195">
        <v>2018</v>
      </c>
      <c r="C195" t="s">
        <v>41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 t="s">
        <v>108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5">
      <c r="A196" t="s">
        <v>35</v>
      </c>
      <c r="B196">
        <v>2018</v>
      </c>
      <c r="C196" t="s">
        <v>41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 t="s">
        <v>108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5">
      <c r="A197" t="s">
        <v>30</v>
      </c>
      <c r="B197">
        <v>2018</v>
      </c>
      <c r="C197" t="s">
        <v>42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5">
      <c r="A198" t="s">
        <v>33</v>
      </c>
      <c r="B198">
        <v>2018</v>
      </c>
      <c r="C198" t="s">
        <v>42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 t="s">
        <v>109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5">
      <c r="A199" t="s">
        <v>35</v>
      </c>
      <c r="B199">
        <v>2018</v>
      </c>
      <c r="C199" t="s">
        <v>42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 t="s">
        <v>109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5">
      <c r="A200" t="s">
        <v>30</v>
      </c>
      <c r="B200">
        <v>2018</v>
      </c>
      <c r="C200" t="s">
        <v>44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5">
      <c r="A201" t="s">
        <v>33</v>
      </c>
      <c r="B201">
        <v>2018</v>
      </c>
      <c r="C201" t="s">
        <v>44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 t="s">
        <v>110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5">
      <c r="A202" t="s">
        <v>35</v>
      </c>
      <c r="B202">
        <v>2018</v>
      </c>
      <c r="C202" t="s">
        <v>44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 t="s">
        <v>110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5">
      <c r="A203" t="s">
        <v>30</v>
      </c>
      <c r="B203">
        <v>2018</v>
      </c>
      <c r="C203" t="s">
        <v>46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5">
      <c r="A204" t="s">
        <v>33</v>
      </c>
      <c r="B204">
        <v>2018</v>
      </c>
      <c r="C204" t="s">
        <v>46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 t="s">
        <v>111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5">
      <c r="A205" t="s">
        <v>35</v>
      </c>
      <c r="B205">
        <v>2018</v>
      </c>
      <c r="C205" t="s">
        <v>46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 t="s">
        <v>111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5">
      <c r="A206" t="s">
        <v>30</v>
      </c>
      <c r="B206">
        <v>2018</v>
      </c>
      <c r="C206" t="s">
        <v>48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5">
      <c r="A207" t="s">
        <v>33</v>
      </c>
      <c r="B207">
        <v>2018</v>
      </c>
      <c r="C207" t="s">
        <v>48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 t="s">
        <v>112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5">
      <c r="A208" t="s">
        <v>35</v>
      </c>
      <c r="B208">
        <v>2018</v>
      </c>
      <c r="C208" t="s">
        <v>48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 t="s">
        <v>112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5">
      <c r="A209" t="s">
        <v>30</v>
      </c>
      <c r="B209">
        <v>2018</v>
      </c>
      <c r="C209" t="s">
        <v>50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5">
      <c r="A210" t="s">
        <v>33</v>
      </c>
      <c r="B210">
        <v>2018</v>
      </c>
      <c r="C210" t="s">
        <v>50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 t="s">
        <v>113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5">
      <c r="A211" t="s">
        <v>35</v>
      </c>
      <c r="B211">
        <v>2018</v>
      </c>
      <c r="C211" t="s">
        <v>50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 t="s">
        <v>114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5">
      <c r="A212" t="s">
        <v>30</v>
      </c>
      <c r="B212">
        <v>2018</v>
      </c>
      <c r="C212" t="s">
        <v>53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5">
      <c r="A213" t="s">
        <v>33</v>
      </c>
      <c r="B213">
        <v>2018</v>
      </c>
      <c r="C213" t="s">
        <v>53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 t="s">
        <v>114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5">
      <c r="A214" t="s">
        <v>35</v>
      </c>
      <c r="B214">
        <v>2018</v>
      </c>
      <c r="C214" t="s">
        <v>53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 t="s">
        <v>114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5">
      <c r="A215" t="s">
        <v>30</v>
      </c>
      <c r="B215">
        <v>2018</v>
      </c>
      <c r="C215" t="s">
        <v>55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5">
      <c r="A216" t="s">
        <v>33</v>
      </c>
      <c r="B216">
        <v>2018</v>
      </c>
      <c r="C216" t="s">
        <v>55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 t="s">
        <v>115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5">
      <c r="A217" t="s">
        <v>35</v>
      </c>
      <c r="B217">
        <v>2018</v>
      </c>
      <c r="C217" t="s">
        <v>55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 t="s">
        <v>115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5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 t="s">
        <v>116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5">
      <c r="A220" t="s">
        <v>35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 t="s">
        <v>116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5">
      <c r="A221" t="s">
        <v>30</v>
      </c>
      <c r="B221">
        <v>2019</v>
      </c>
      <c r="C221" t="s">
        <v>36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5">
      <c r="A222" t="s">
        <v>33</v>
      </c>
      <c r="B222">
        <v>2019</v>
      </c>
      <c r="C222" t="s">
        <v>36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 t="s">
        <v>117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5">
      <c r="A223" t="s">
        <v>35</v>
      </c>
      <c r="B223">
        <v>2019</v>
      </c>
      <c r="C223" t="s">
        <v>36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 t="s">
        <v>117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5">
      <c r="A224" t="s">
        <v>30</v>
      </c>
      <c r="B224">
        <v>2019</v>
      </c>
      <c r="C224" t="s">
        <v>38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5">
      <c r="A225" t="s">
        <v>33</v>
      </c>
      <c r="B225">
        <v>2019</v>
      </c>
      <c r="C225" t="s">
        <v>38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 t="s">
        <v>118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5">
      <c r="A226" t="s">
        <v>35</v>
      </c>
      <c r="B226">
        <v>2019</v>
      </c>
      <c r="C226" t="s">
        <v>38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 t="s">
        <v>118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5">
      <c r="A227" t="s">
        <v>30</v>
      </c>
      <c r="B227">
        <v>2019</v>
      </c>
      <c r="C227" t="s">
        <v>41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5">
      <c r="A228" t="s">
        <v>33</v>
      </c>
      <c r="B228">
        <v>2019</v>
      </c>
      <c r="C228" t="s">
        <v>41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 t="s">
        <v>119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5">
      <c r="A229" t="s">
        <v>35</v>
      </c>
      <c r="B229">
        <v>2019</v>
      </c>
      <c r="C229" t="s">
        <v>41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 t="s">
        <v>119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5">
      <c r="A230" t="s">
        <v>30</v>
      </c>
      <c r="B230">
        <v>2019</v>
      </c>
      <c r="C230" t="s">
        <v>42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5">
      <c r="A231" t="s">
        <v>33</v>
      </c>
      <c r="B231">
        <v>2019</v>
      </c>
      <c r="C231" t="s">
        <v>42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 t="s">
        <v>120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5">
      <c r="A232" t="s">
        <v>35</v>
      </c>
      <c r="B232">
        <v>2019</v>
      </c>
      <c r="C232" t="s">
        <v>42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 t="s">
        <v>120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5">
      <c r="A233" t="s">
        <v>30</v>
      </c>
      <c r="B233">
        <v>2019</v>
      </c>
      <c r="C233" t="s">
        <v>44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5">
      <c r="A234" t="s">
        <v>33</v>
      </c>
      <c r="B234">
        <v>2019</v>
      </c>
      <c r="C234" t="s">
        <v>44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 t="s">
        <v>121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5">
      <c r="A235" t="s">
        <v>35</v>
      </c>
      <c r="B235">
        <v>2019</v>
      </c>
      <c r="C235" t="s">
        <v>44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 t="s">
        <v>121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5">
      <c r="A236" t="s">
        <v>30</v>
      </c>
      <c r="B236">
        <v>2019</v>
      </c>
      <c r="C236" t="s">
        <v>46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5">
      <c r="A237" t="s">
        <v>33</v>
      </c>
      <c r="B237">
        <v>2019</v>
      </c>
      <c r="C237" t="s">
        <v>46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 t="s">
        <v>122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5">
      <c r="A238" t="s">
        <v>35</v>
      </c>
      <c r="B238">
        <v>2019</v>
      </c>
      <c r="C238" t="s">
        <v>46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 t="s">
        <v>122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5">
      <c r="A239" t="s">
        <v>30</v>
      </c>
      <c r="B239">
        <v>2019</v>
      </c>
      <c r="C239" t="s">
        <v>48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5">
      <c r="A240" t="s">
        <v>33</v>
      </c>
      <c r="B240">
        <v>2019</v>
      </c>
      <c r="C240" t="s">
        <v>48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 t="s">
        <v>123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5">
      <c r="A241" t="s">
        <v>35</v>
      </c>
      <c r="B241">
        <v>2019</v>
      </c>
      <c r="C241" t="s">
        <v>48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 t="s">
        <v>123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5">
      <c r="A242" t="s">
        <v>30</v>
      </c>
      <c r="B242">
        <v>2019</v>
      </c>
      <c r="C242" t="s">
        <v>50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5">
      <c r="A243" t="s">
        <v>33</v>
      </c>
      <c r="B243">
        <v>2019</v>
      </c>
      <c r="C243" t="s">
        <v>50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 t="s">
        <v>124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5">
      <c r="A244" t="s">
        <v>35</v>
      </c>
      <c r="B244">
        <v>2019</v>
      </c>
      <c r="C244" t="s">
        <v>50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 t="s">
        <v>124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5">
      <c r="A245" t="s">
        <v>30</v>
      </c>
      <c r="B245">
        <v>2019</v>
      </c>
      <c r="C245" t="s">
        <v>53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5">
      <c r="A246" t="s">
        <v>33</v>
      </c>
      <c r="B246">
        <v>2019</v>
      </c>
      <c r="C246" t="s">
        <v>53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 t="s">
        <v>125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5">
      <c r="A247" t="s">
        <v>35</v>
      </c>
      <c r="B247">
        <v>2019</v>
      </c>
      <c r="C247" t="s">
        <v>53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 t="s">
        <v>125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5">
      <c r="A248" t="s">
        <v>30</v>
      </c>
      <c r="B248">
        <v>2019</v>
      </c>
      <c r="C248" t="s">
        <v>55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5">
      <c r="A249" t="s">
        <v>33</v>
      </c>
      <c r="B249">
        <v>2019</v>
      </c>
      <c r="C249" t="s">
        <v>55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 t="s">
        <v>126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5">
      <c r="A250" t="s">
        <v>35</v>
      </c>
      <c r="B250">
        <v>2019</v>
      </c>
      <c r="C250" t="s">
        <v>55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 t="s">
        <v>126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5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5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 t="s">
        <v>127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5">
      <c r="A253" t="s">
        <v>35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 t="s">
        <v>127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5">
      <c r="A254" t="s">
        <v>30</v>
      </c>
      <c r="B254">
        <v>2020</v>
      </c>
      <c r="C254" t="s">
        <v>36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5">
      <c r="A255" t="s">
        <v>33</v>
      </c>
      <c r="B255">
        <v>2020</v>
      </c>
      <c r="C255" t="s">
        <v>36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 t="s">
        <v>128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5">
      <c r="A256" t="s">
        <v>35</v>
      </c>
      <c r="B256">
        <v>2020</v>
      </c>
      <c r="C256" t="s">
        <v>36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 t="s">
        <v>128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5">
      <c r="A257" t="s">
        <v>30</v>
      </c>
      <c r="B257">
        <v>2020</v>
      </c>
      <c r="C257" t="s">
        <v>38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5">
      <c r="A258" t="s">
        <v>33</v>
      </c>
      <c r="B258">
        <v>2020</v>
      </c>
      <c r="C258" t="s">
        <v>38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 t="s">
        <v>129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5">
      <c r="A259" t="s">
        <v>35</v>
      </c>
      <c r="B259">
        <v>2020</v>
      </c>
      <c r="C259" t="s">
        <v>38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 t="s">
        <v>129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5">
      <c r="A260" t="s">
        <v>30</v>
      </c>
      <c r="B260">
        <v>2020</v>
      </c>
      <c r="C260" t="s">
        <v>39</v>
      </c>
      <c r="D260">
        <v>147.19999999999999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P260">
        <v>150.1</v>
      </c>
      <c r="U260" t="s">
        <v>32</v>
      </c>
      <c r="V260">
        <v>148.4</v>
      </c>
      <c r="X260">
        <v>154.30000000000001</v>
      </c>
    </row>
    <row r="261" spans="1:30" x14ac:dyDescent="0.35">
      <c r="A261" t="s">
        <v>33</v>
      </c>
      <c r="B261">
        <v>2020</v>
      </c>
      <c r="C261" t="s">
        <v>39</v>
      </c>
      <c r="D261">
        <v>151.80000000000001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P261">
        <v>153.5</v>
      </c>
      <c r="U261" t="s">
        <v>130</v>
      </c>
      <c r="V261">
        <v>137.1</v>
      </c>
      <c r="X261">
        <v>144.80000000000001</v>
      </c>
    </row>
    <row r="262" spans="1:30" x14ac:dyDescent="0.35">
      <c r="A262" t="s">
        <v>35</v>
      </c>
      <c r="B262">
        <v>2020</v>
      </c>
      <c r="C262" t="s">
        <v>39</v>
      </c>
      <c r="D262">
        <v>148.69999999999999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P262">
        <v>151.4</v>
      </c>
      <c r="U262" t="s">
        <v>130</v>
      </c>
      <c r="V262">
        <v>144.1</v>
      </c>
      <c r="X262">
        <v>150.69999999999999</v>
      </c>
    </row>
    <row r="263" spans="1:30" x14ac:dyDescent="0.35">
      <c r="A263" t="s">
        <v>30</v>
      </c>
      <c r="B263">
        <v>2020</v>
      </c>
      <c r="C263" t="s">
        <v>41</v>
      </c>
      <c r="U263" t="s">
        <v>32</v>
      </c>
    </row>
    <row r="264" spans="1:30" x14ac:dyDescent="0.35">
      <c r="A264" t="s">
        <v>33</v>
      </c>
      <c r="B264">
        <v>2020</v>
      </c>
      <c r="C264" t="s">
        <v>41</v>
      </c>
      <c r="U264" t="s">
        <v>32</v>
      </c>
    </row>
    <row r="265" spans="1:30" x14ac:dyDescent="0.35">
      <c r="A265" t="s">
        <v>35</v>
      </c>
      <c r="B265">
        <v>2020</v>
      </c>
      <c r="C265" t="s">
        <v>41</v>
      </c>
      <c r="U265" t="s">
        <v>32</v>
      </c>
    </row>
    <row r="266" spans="1:30" x14ac:dyDescent="0.35">
      <c r="A266" t="s">
        <v>30</v>
      </c>
      <c r="B266">
        <v>2020</v>
      </c>
      <c r="C266" t="s">
        <v>42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35">
      <c r="A267" t="s">
        <v>33</v>
      </c>
      <c r="B267">
        <v>2020</v>
      </c>
      <c r="C267" t="s">
        <v>42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 t="s">
        <v>131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5">
      <c r="A268" t="s">
        <v>35</v>
      </c>
      <c r="B268">
        <v>2020</v>
      </c>
      <c r="C268" t="s">
        <v>42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 t="s">
        <v>131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35">
      <c r="A269" t="s">
        <v>30</v>
      </c>
      <c r="B269">
        <v>2020</v>
      </c>
      <c r="C269" t="s">
        <v>44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35">
      <c r="A270" t="s">
        <v>33</v>
      </c>
      <c r="B270">
        <v>2020</v>
      </c>
      <c r="C270" t="s">
        <v>44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 t="s">
        <v>131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35">
      <c r="A271" t="s">
        <v>35</v>
      </c>
      <c r="B271">
        <v>2020</v>
      </c>
      <c r="C271" t="s">
        <v>44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 t="s">
        <v>131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35">
      <c r="A272" t="s">
        <v>30</v>
      </c>
      <c r="B272">
        <v>2020</v>
      </c>
      <c r="C272" t="s">
        <v>46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35">
      <c r="A273" t="s">
        <v>33</v>
      </c>
      <c r="B273">
        <v>2020</v>
      </c>
      <c r="C273" t="s">
        <v>46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 t="s">
        <v>132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5">
      <c r="A274" t="s">
        <v>35</v>
      </c>
      <c r="B274">
        <v>2020</v>
      </c>
      <c r="C274" t="s">
        <v>46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 t="s">
        <v>132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35">
      <c r="A275" t="s">
        <v>30</v>
      </c>
      <c r="B275">
        <v>2020</v>
      </c>
      <c r="C275" t="s">
        <v>48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35">
      <c r="A276" t="s">
        <v>33</v>
      </c>
      <c r="B276">
        <v>2020</v>
      </c>
      <c r="C276" t="s">
        <v>48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 t="s">
        <v>133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5">
      <c r="A277" t="s">
        <v>35</v>
      </c>
      <c r="B277">
        <v>2020</v>
      </c>
      <c r="C277" t="s">
        <v>48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 t="s">
        <v>133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35">
      <c r="A278" t="s">
        <v>30</v>
      </c>
      <c r="B278">
        <v>2020</v>
      </c>
      <c r="C278" t="s">
        <v>50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35">
      <c r="A279" t="s">
        <v>33</v>
      </c>
      <c r="B279">
        <v>2020</v>
      </c>
      <c r="C279" t="s">
        <v>50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 t="s">
        <v>134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5">
      <c r="A280" t="s">
        <v>35</v>
      </c>
      <c r="B280">
        <v>2020</v>
      </c>
      <c r="C280" t="s">
        <v>50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 t="s">
        <v>134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35">
      <c r="A281" t="s">
        <v>30</v>
      </c>
      <c r="B281">
        <v>2020</v>
      </c>
      <c r="C281" t="s">
        <v>53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35">
      <c r="A282" t="s">
        <v>33</v>
      </c>
      <c r="B282">
        <v>2020</v>
      </c>
      <c r="C282" t="s">
        <v>53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 t="s">
        <v>135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5">
      <c r="A283" t="s">
        <v>35</v>
      </c>
      <c r="B283">
        <v>2020</v>
      </c>
      <c r="C283" t="s">
        <v>53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 t="s">
        <v>135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35">
      <c r="A284" t="s">
        <v>30</v>
      </c>
      <c r="B284">
        <v>2020</v>
      </c>
      <c r="C284" t="s">
        <v>55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35">
      <c r="A285" t="s">
        <v>33</v>
      </c>
      <c r="B285">
        <v>2020</v>
      </c>
      <c r="C285" t="s">
        <v>55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 t="s">
        <v>136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5">
      <c r="A286" t="s">
        <v>35</v>
      </c>
      <c r="B286">
        <v>2020</v>
      </c>
      <c r="C286" t="s">
        <v>55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 t="s">
        <v>136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35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35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 t="s">
        <v>137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5">
      <c r="A289" t="s">
        <v>35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 t="s">
        <v>137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35">
      <c r="A290" t="s">
        <v>30</v>
      </c>
      <c r="B290">
        <v>2021</v>
      </c>
      <c r="C290" t="s">
        <v>36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35">
      <c r="A291" t="s">
        <v>33</v>
      </c>
      <c r="B291">
        <v>2021</v>
      </c>
      <c r="C291" t="s">
        <v>36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 t="s">
        <v>138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5">
      <c r="A292" t="s">
        <v>35</v>
      </c>
      <c r="B292">
        <v>2021</v>
      </c>
      <c r="C292" t="s">
        <v>36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 t="s">
        <v>138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35">
      <c r="A293" t="s">
        <v>30</v>
      </c>
      <c r="B293">
        <v>2021</v>
      </c>
      <c r="C293" t="s">
        <v>38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139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35">
      <c r="A294" t="s">
        <v>33</v>
      </c>
      <c r="B294">
        <v>2021</v>
      </c>
      <c r="C294" t="s">
        <v>38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 t="s">
        <v>140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5">
      <c r="A295" t="s">
        <v>35</v>
      </c>
      <c r="B295">
        <v>2021</v>
      </c>
      <c r="C295" t="s">
        <v>38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 t="s">
        <v>140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35">
      <c r="A296" t="s">
        <v>30</v>
      </c>
      <c r="B296">
        <v>2021</v>
      </c>
      <c r="C296" t="s">
        <v>39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139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35">
      <c r="A297" t="s">
        <v>33</v>
      </c>
      <c r="B297">
        <v>2021</v>
      </c>
      <c r="C297" t="s">
        <v>39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 t="s">
        <v>141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5">
      <c r="A298" t="s">
        <v>35</v>
      </c>
      <c r="B298">
        <v>2021</v>
      </c>
      <c r="C298" t="s">
        <v>39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 t="s">
        <v>141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35">
      <c r="A299" t="s">
        <v>30</v>
      </c>
      <c r="B299">
        <v>2021</v>
      </c>
      <c r="C299" t="s">
        <v>41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35">
      <c r="A300" t="s">
        <v>33</v>
      </c>
      <c r="B300">
        <v>2021</v>
      </c>
      <c r="C300" t="s">
        <v>41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 t="s">
        <v>142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5">
      <c r="A301" t="s">
        <v>35</v>
      </c>
      <c r="B301">
        <v>2021</v>
      </c>
      <c r="C301" t="s">
        <v>41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 t="s">
        <v>142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35">
      <c r="A302" t="s">
        <v>30</v>
      </c>
      <c r="B302">
        <v>2021</v>
      </c>
      <c r="C302" t="s">
        <v>42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35">
      <c r="A303" t="s">
        <v>33</v>
      </c>
      <c r="B303">
        <v>2021</v>
      </c>
      <c r="C303" t="s">
        <v>42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 t="s">
        <v>143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5">
      <c r="A304" t="s">
        <v>35</v>
      </c>
      <c r="B304">
        <v>2021</v>
      </c>
      <c r="C304" t="s">
        <v>42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 t="s">
        <v>143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35">
      <c r="A305" t="s">
        <v>30</v>
      </c>
      <c r="B305">
        <v>2021</v>
      </c>
      <c r="C305" t="s">
        <v>44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35">
      <c r="A306" t="s">
        <v>33</v>
      </c>
      <c r="B306">
        <v>2021</v>
      </c>
      <c r="C306" t="s">
        <v>44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 t="s">
        <v>144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5">
      <c r="A307" t="s">
        <v>35</v>
      </c>
      <c r="B307">
        <v>2021</v>
      </c>
      <c r="C307" t="s">
        <v>44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 t="s">
        <v>144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35">
      <c r="A308" t="s">
        <v>30</v>
      </c>
      <c r="B308">
        <v>2021</v>
      </c>
      <c r="C308" t="s">
        <v>46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35">
      <c r="A309" t="s">
        <v>33</v>
      </c>
      <c r="B309">
        <v>2021</v>
      </c>
      <c r="C309" t="s">
        <v>46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 t="s">
        <v>145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5">
      <c r="A310" t="s">
        <v>35</v>
      </c>
      <c r="B310">
        <v>2021</v>
      </c>
      <c r="C310" t="s">
        <v>46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 t="s">
        <v>145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35">
      <c r="A311" t="s">
        <v>30</v>
      </c>
      <c r="B311">
        <v>2021</v>
      </c>
      <c r="C311" t="s">
        <v>48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35">
      <c r="A312" t="s">
        <v>33</v>
      </c>
      <c r="B312">
        <v>2021</v>
      </c>
      <c r="C312" t="s">
        <v>48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 t="s">
        <v>145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5">
      <c r="A313" t="s">
        <v>35</v>
      </c>
      <c r="B313">
        <v>2021</v>
      </c>
      <c r="C313" t="s">
        <v>48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 t="s">
        <v>145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35">
      <c r="A314" t="s">
        <v>30</v>
      </c>
      <c r="B314">
        <v>2021</v>
      </c>
      <c r="C314" t="s">
        <v>50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35">
      <c r="A315" t="s">
        <v>33</v>
      </c>
      <c r="B315">
        <v>2021</v>
      </c>
      <c r="C315" t="s">
        <v>50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 t="s">
        <v>146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5">
      <c r="A316" t="s">
        <v>35</v>
      </c>
      <c r="B316">
        <v>2021</v>
      </c>
      <c r="C316" t="s">
        <v>50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 t="s">
        <v>146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35">
      <c r="A317" t="s">
        <v>30</v>
      </c>
      <c r="B317">
        <v>2021</v>
      </c>
      <c r="C317" t="s">
        <v>53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35">
      <c r="A318" t="s">
        <v>33</v>
      </c>
      <c r="B318">
        <v>2021</v>
      </c>
      <c r="C318" t="s">
        <v>53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 t="s">
        <v>147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5">
      <c r="A319" t="s">
        <v>35</v>
      </c>
      <c r="B319">
        <v>2021</v>
      </c>
      <c r="C319" t="s">
        <v>53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 t="s">
        <v>147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35">
      <c r="A320" t="s">
        <v>30</v>
      </c>
      <c r="B320">
        <v>2021</v>
      </c>
      <c r="C320" t="s">
        <v>55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35">
      <c r="A321" t="s">
        <v>33</v>
      </c>
      <c r="B321">
        <v>2021</v>
      </c>
      <c r="C321" t="s">
        <v>55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 t="s">
        <v>148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5">
      <c r="A322" t="s">
        <v>35</v>
      </c>
      <c r="B322">
        <v>2021</v>
      </c>
      <c r="C322" t="s">
        <v>55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 t="s">
        <v>148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35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35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 t="s">
        <v>149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5">
      <c r="A325" t="s">
        <v>35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 t="s">
        <v>149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35">
      <c r="A326" t="s">
        <v>30</v>
      </c>
      <c r="B326">
        <v>2022</v>
      </c>
      <c r="C326" t="s">
        <v>36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35">
      <c r="A327" t="s">
        <v>33</v>
      </c>
      <c r="B327">
        <v>2022</v>
      </c>
      <c r="C327" t="s">
        <v>36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 t="s">
        <v>150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5">
      <c r="A328" t="s">
        <v>35</v>
      </c>
      <c r="B328">
        <v>2022</v>
      </c>
      <c r="C328" t="s">
        <v>36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 t="s">
        <v>150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35">
      <c r="A329" t="s">
        <v>30</v>
      </c>
      <c r="B329">
        <v>2022</v>
      </c>
      <c r="C329" t="s">
        <v>38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35">
      <c r="A330" t="s">
        <v>33</v>
      </c>
      <c r="B330">
        <v>2022</v>
      </c>
      <c r="C330" t="s">
        <v>38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 t="s">
        <v>151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5">
      <c r="A331" t="s">
        <v>35</v>
      </c>
      <c r="B331">
        <v>2022</v>
      </c>
      <c r="C331" t="s">
        <v>38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 t="s">
        <v>151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35">
      <c r="A332" t="s">
        <v>30</v>
      </c>
      <c r="B332">
        <v>2022</v>
      </c>
      <c r="C332" t="s">
        <v>39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35">
      <c r="A333" t="s">
        <v>33</v>
      </c>
      <c r="B333">
        <v>2022</v>
      </c>
      <c r="C333" t="s">
        <v>39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 t="s">
        <v>152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5">
      <c r="A334" t="s">
        <v>35</v>
      </c>
      <c r="B334">
        <v>2022</v>
      </c>
      <c r="C334" t="s">
        <v>39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 t="s">
        <v>152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35">
      <c r="A335" t="s">
        <v>30</v>
      </c>
      <c r="B335">
        <v>2022</v>
      </c>
      <c r="C335" t="s">
        <v>41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35">
      <c r="A336" t="s">
        <v>33</v>
      </c>
      <c r="B336">
        <v>2022</v>
      </c>
      <c r="C336" t="s">
        <v>41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 t="s">
        <v>153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5">
      <c r="A337" t="s">
        <v>35</v>
      </c>
      <c r="B337">
        <v>2022</v>
      </c>
      <c r="C337" t="s">
        <v>41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 t="s">
        <v>153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35">
      <c r="A338" t="s">
        <v>30</v>
      </c>
      <c r="B338">
        <v>2022</v>
      </c>
      <c r="C338" t="s">
        <v>42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35">
      <c r="A339" t="s">
        <v>33</v>
      </c>
      <c r="B339">
        <v>2022</v>
      </c>
      <c r="C339" t="s">
        <v>42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 t="s">
        <v>154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5">
      <c r="A340" t="s">
        <v>35</v>
      </c>
      <c r="B340">
        <v>2022</v>
      </c>
      <c r="C340" t="s">
        <v>42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 t="s">
        <v>154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35">
      <c r="A341" t="s">
        <v>30</v>
      </c>
      <c r="B341">
        <v>2022</v>
      </c>
      <c r="C341" t="s">
        <v>44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35">
      <c r="A342" t="s">
        <v>33</v>
      </c>
      <c r="B342">
        <v>2022</v>
      </c>
      <c r="C342" t="s">
        <v>44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 t="s">
        <v>155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5">
      <c r="A343" t="s">
        <v>35</v>
      </c>
      <c r="B343">
        <v>2022</v>
      </c>
      <c r="C343" t="s">
        <v>44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 t="s">
        <v>155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35">
      <c r="A344" t="s">
        <v>30</v>
      </c>
      <c r="B344">
        <v>2022</v>
      </c>
      <c r="C344" t="s">
        <v>46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35">
      <c r="A345" t="s">
        <v>33</v>
      </c>
      <c r="B345">
        <v>2022</v>
      </c>
      <c r="C345" t="s">
        <v>46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 t="s">
        <v>156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5">
      <c r="A346" t="s">
        <v>35</v>
      </c>
      <c r="B346">
        <v>2022</v>
      </c>
      <c r="C346" t="s">
        <v>46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 t="s">
        <v>156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35">
      <c r="A347" t="s">
        <v>30</v>
      </c>
      <c r="B347">
        <v>2022</v>
      </c>
      <c r="C347" t="s">
        <v>48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35">
      <c r="A348" t="s">
        <v>33</v>
      </c>
      <c r="B348">
        <v>2022</v>
      </c>
      <c r="C348" t="s">
        <v>48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 t="s">
        <v>157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5">
      <c r="A349" t="s">
        <v>35</v>
      </c>
      <c r="B349">
        <v>2022</v>
      </c>
      <c r="C349" t="s">
        <v>48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 t="s">
        <v>157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35">
      <c r="A350" t="s">
        <v>30</v>
      </c>
      <c r="B350">
        <v>2022</v>
      </c>
      <c r="C350" t="s">
        <v>50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35">
      <c r="A351" t="s">
        <v>33</v>
      </c>
      <c r="B351">
        <v>2022</v>
      </c>
      <c r="C351" t="s">
        <v>50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 t="s">
        <v>158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5">
      <c r="A352" t="s">
        <v>35</v>
      </c>
      <c r="B352">
        <v>2022</v>
      </c>
      <c r="C352" t="s">
        <v>50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 t="s">
        <v>158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35">
      <c r="A353" t="s">
        <v>30</v>
      </c>
      <c r="B353">
        <v>2022</v>
      </c>
      <c r="C353" t="s">
        <v>53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35">
      <c r="A354" t="s">
        <v>33</v>
      </c>
      <c r="B354">
        <v>2022</v>
      </c>
      <c r="C354" t="s">
        <v>53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 t="s">
        <v>159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5">
      <c r="A355" t="s">
        <v>35</v>
      </c>
      <c r="B355">
        <v>2022</v>
      </c>
      <c r="C355" t="s">
        <v>53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 t="s">
        <v>159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35">
      <c r="A356" t="s">
        <v>30</v>
      </c>
      <c r="B356">
        <v>2022</v>
      </c>
      <c r="C356" t="s">
        <v>55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35">
      <c r="A357" t="s">
        <v>33</v>
      </c>
      <c r="B357">
        <v>2022</v>
      </c>
      <c r="C357" t="s">
        <v>55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 t="s">
        <v>160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5">
      <c r="A358" t="s">
        <v>35</v>
      </c>
      <c r="B358">
        <v>2022</v>
      </c>
      <c r="C358" t="s">
        <v>55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 t="s">
        <v>160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35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35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 t="s">
        <v>161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5">
      <c r="A361" t="s">
        <v>35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 t="s">
        <v>161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35">
      <c r="A362" t="s">
        <v>30</v>
      </c>
      <c r="B362">
        <v>2023</v>
      </c>
      <c r="C362" t="s">
        <v>36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5">
      <c r="A363" t="s">
        <v>33</v>
      </c>
      <c r="B363">
        <v>2023</v>
      </c>
      <c r="C363" t="s">
        <v>36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 t="s">
        <v>162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5">
      <c r="A364" t="s">
        <v>35</v>
      </c>
      <c r="B364">
        <v>2023</v>
      </c>
      <c r="C364" t="s">
        <v>36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 t="s">
        <v>162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5">
      <c r="A365" t="s">
        <v>30</v>
      </c>
      <c r="B365">
        <v>2023</v>
      </c>
      <c r="C365" t="s">
        <v>38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5">
      <c r="A366" t="s">
        <v>33</v>
      </c>
      <c r="B366">
        <v>2023</v>
      </c>
      <c r="C366" t="s">
        <v>38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 t="s">
        <v>162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5">
      <c r="A367" t="s">
        <v>35</v>
      </c>
      <c r="B367">
        <v>2023</v>
      </c>
      <c r="C367" t="s">
        <v>38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 t="s">
        <v>162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5">
      <c r="A368" t="s">
        <v>30</v>
      </c>
      <c r="B368">
        <v>2023</v>
      </c>
      <c r="C368" t="s">
        <v>39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139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35">
      <c r="A369" t="s">
        <v>33</v>
      </c>
      <c r="B369">
        <v>2023</v>
      </c>
      <c r="C369" t="s">
        <v>39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 t="s">
        <v>163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5">
      <c r="A370" t="s">
        <v>35</v>
      </c>
      <c r="B370">
        <v>2023</v>
      </c>
      <c r="C370" t="s">
        <v>39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 t="s">
        <v>163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35">
      <c r="A371" t="s">
        <v>30</v>
      </c>
      <c r="B371">
        <v>2023</v>
      </c>
      <c r="C371" t="s">
        <v>41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139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35">
      <c r="A372" t="s">
        <v>33</v>
      </c>
      <c r="B372">
        <v>2023</v>
      </c>
      <c r="C372" t="s">
        <v>41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 t="s">
        <v>164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5">
      <c r="A373" t="s">
        <v>35</v>
      </c>
      <c r="B373">
        <v>2023</v>
      </c>
      <c r="C373" t="s">
        <v>41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 t="s">
        <v>164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73"/>
  <sheetViews>
    <sheetView zoomScale="58" zoomScaleNormal="58" workbookViewId="0">
      <selection activeCell="B2" sqref="B2"/>
    </sheetView>
  </sheetViews>
  <sheetFormatPr defaultRowHeight="14.5" x14ac:dyDescent="0.35"/>
  <cols>
    <col min="1" max="1" width="12.1796875" bestFit="1" customWidth="1"/>
    <col min="2" max="2" width="5.90625" bestFit="1" customWidth="1"/>
    <col min="3" max="3" width="10.54296875" bestFit="1" customWidth="1"/>
    <col min="4" max="4" width="24" bestFit="1" customWidth="1"/>
    <col min="5" max="5" width="15.6328125" bestFit="1" customWidth="1"/>
    <col min="6" max="6" width="6.26953125" bestFit="1" customWidth="1"/>
    <col min="7" max="7" width="20.453125" bestFit="1" customWidth="1"/>
    <col min="8" max="8" width="14.453125" bestFit="1" customWidth="1"/>
    <col min="9" max="9" width="7.1796875" bestFit="1" customWidth="1"/>
    <col min="10" max="10" width="12.90625" bestFit="1" customWidth="1"/>
    <col min="11" max="11" width="23" bestFit="1" customWidth="1"/>
    <col min="12" max="12" width="28.08984375" bestFit="1" customWidth="1"/>
    <col min="13" max="13" width="7.90625" bestFit="1" customWidth="1"/>
    <col min="14" max="14" width="28.08984375" bestFit="1" customWidth="1"/>
    <col min="15" max="15" width="40.7265625" bestFit="1" customWidth="1"/>
    <col min="16" max="16" width="23" bestFit="1" customWidth="1"/>
    <col min="17" max="17" width="32.90625" bestFit="1" customWidth="1"/>
    <col min="18" max="18" width="10.08984375" bestFit="1" customWidth="1"/>
    <col min="19" max="19" width="11.26953125" bestFit="1" customWidth="1"/>
    <col min="20" max="20" width="25.54296875" bestFit="1" customWidth="1"/>
    <col min="21" max="21" width="9.81640625" bestFit="1" customWidth="1"/>
    <col min="22" max="22" width="15.81640625" bestFit="1" customWidth="1"/>
    <col min="23" max="23" width="34.1796875" bestFit="1" customWidth="1"/>
    <col min="24" max="24" width="8.08984375" bestFit="1" customWidth="1"/>
    <col min="25" max="25" width="34.1796875" bestFit="1" customWidth="1"/>
    <col min="26" max="26" width="31.1796875" bestFit="1" customWidth="1"/>
    <col min="27" max="27" width="11.81640625" bestFit="1" customWidth="1"/>
    <col min="28" max="28" width="28.6328125" bestFit="1" customWidth="1"/>
    <col min="29" max="29" width="16.1796875" bestFit="1" customWidth="1"/>
    <col min="30" max="30" width="16.08984375" bestFit="1" customWidth="1"/>
  </cols>
  <sheetData>
    <row r="1" spans="1:30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s="2" t="s">
        <v>30</v>
      </c>
      <c r="B2" s="2">
        <v>2013</v>
      </c>
      <c r="C2" s="2" t="s">
        <v>31</v>
      </c>
      <c r="D2" s="2">
        <v>107.5</v>
      </c>
      <c r="E2" s="2">
        <v>106.3</v>
      </c>
      <c r="F2" s="2">
        <v>108.1</v>
      </c>
      <c r="G2" s="2">
        <v>104.9</v>
      </c>
      <c r="H2" s="2">
        <v>106.1</v>
      </c>
      <c r="I2" s="2">
        <v>103.9</v>
      </c>
      <c r="J2" s="2">
        <v>101.9</v>
      </c>
      <c r="K2" s="2">
        <v>106.1</v>
      </c>
      <c r="L2" s="2">
        <v>106.8</v>
      </c>
      <c r="M2" s="2">
        <v>103.1</v>
      </c>
      <c r="N2" s="2">
        <v>104.8</v>
      </c>
      <c r="O2" s="2">
        <v>106.7</v>
      </c>
      <c r="P2" s="2">
        <v>105.5</v>
      </c>
      <c r="Q2" s="2">
        <v>105.1</v>
      </c>
      <c r="R2" s="2">
        <v>106.5</v>
      </c>
      <c r="S2" s="2">
        <v>105.8</v>
      </c>
      <c r="T2" s="2">
        <v>106.4</v>
      </c>
      <c r="U2" s="2" t="s">
        <v>32</v>
      </c>
      <c r="V2" s="2">
        <v>105.5</v>
      </c>
      <c r="W2" s="2">
        <v>104.8</v>
      </c>
      <c r="X2" s="2">
        <v>104</v>
      </c>
      <c r="Y2" s="2">
        <v>103.3</v>
      </c>
      <c r="Z2" s="2">
        <v>103.4</v>
      </c>
      <c r="AA2" s="2">
        <v>103.8</v>
      </c>
      <c r="AB2" s="2">
        <v>104.7</v>
      </c>
      <c r="AC2" s="2">
        <v>104</v>
      </c>
      <c r="AD2" s="2">
        <v>105.1</v>
      </c>
    </row>
    <row r="3" spans="1:30" x14ac:dyDescent="0.35">
      <c r="A3" s="2" t="s">
        <v>33</v>
      </c>
      <c r="B3" s="2">
        <v>2013</v>
      </c>
      <c r="C3" s="2" t="s">
        <v>31</v>
      </c>
      <c r="D3" s="2">
        <v>110.5</v>
      </c>
      <c r="E3" s="2">
        <v>109.1</v>
      </c>
      <c r="F3" s="2">
        <v>113</v>
      </c>
      <c r="G3" s="2">
        <v>103.6</v>
      </c>
      <c r="H3" s="2">
        <v>103.4</v>
      </c>
      <c r="I3" s="2">
        <v>102.3</v>
      </c>
      <c r="J3" s="2">
        <v>102.9</v>
      </c>
      <c r="K3" s="2">
        <v>105.8</v>
      </c>
      <c r="L3" s="2">
        <v>105.1</v>
      </c>
      <c r="M3" s="2">
        <v>101.8</v>
      </c>
      <c r="N3" s="2">
        <v>105.1</v>
      </c>
      <c r="O3" s="2">
        <v>107.9</v>
      </c>
      <c r="P3" s="2">
        <v>105.9</v>
      </c>
      <c r="Q3" s="2">
        <v>105.2</v>
      </c>
      <c r="R3" s="2">
        <v>105.9</v>
      </c>
      <c r="S3" s="2">
        <v>105</v>
      </c>
      <c r="T3" s="2">
        <v>105.8</v>
      </c>
      <c r="U3" s="2" t="s">
        <v>34</v>
      </c>
      <c r="V3" s="2">
        <v>105.4</v>
      </c>
      <c r="W3" s="2">
        <v>104.8</v>
      </c>
      <c r="X3" s="2">
        <v>104.1</v>
      </c>
      <c r="Y3" s="2">
        <v>103.2</v>
      </c>
      <c r="Z3" s="2">
        <v>102.9</v>
      </c>
      <c r="AA3" s="2">
        <v>103.5</v>
      </c>
      <c r="AB3" s="2">
        <v>104.3</v>
      </c>
      <c r="AC3" s="2">
        <v>103.7</v>
      </c>
      <c r="AD3" s="2">
        <v>104</v>
      </c>
    </row>
    <row r="4" spans="1:30" x14ac:dyDescent="0.35">
      <c r="A4" s="2" t="s">
        <v>35</v>
      </c>
      <c r="B4" s="2">
        <v>2013</v>
      </c>
      <c r="C4" s="2" t="s">
        <v>31</v>
      </c>
      <c r="D4" s="2">
        <v>108.4</v>
      </c>
      <c r="E4" s="2">
        <v>107.3</v>
      </c>
      <c r="F4" s="2">
        <v>110</v>
      </c>
      <c r="G4" s="2">
        <v>104.4</v>
      </c>
      <c r="H4" s="2">
        <v>105.1</v>
      </c>
      <c r="I4" s="2">
        <v>103.2</v>
      </c>
      <c r="J4" s="2">
        <v>102.2</v>
      </c>
      <c r="K4" s="2">
        <v>106</v>
      </c>
      <c r="L4" s="2">
        <v>106.2</v>
      </c>
      <c r="M4" s="2">
        <v>102.7</v>
      </c>
      <c r="N4" s="2">
        <v>104.9</v>
      </c>
      <c r="O4" s="2">
        <v>107.3</v>
      </c>
      <c r="P4" s="2">
        <v>105.6</v>
      </c>
      <c r="Q4" s="2">
        <v>105.1</v>
      </c>
      <c r="R4" s="2">
        <v>106.3</v>
      </c>
      <c r="S4" s="2">
        <v>105.5</v>
      </c>
      <c r="T4" s="2">
        <v>106.2</v>
      </c>
      <c r="U4" s="2" t="s">
        <v>34</v>
      </c>
      <c r="V4" s="2">
        <v>105.5</v>
      </c>
      <c r="W4" s="2">
        <v>104.8</v>
      </c>
      <c r="X4" s="2">
        <v>104</v>
      </c>
      <c r="Y4" s="2">
        <v>103.2</v>
      </c>
      <c r="Z4" s="2">
        <v>103.1</v>
      </c>
      <c r="AA4" s="2">
        <v>103.6</v>
      </c>
      <c r="AB4" s="2">
        <v>104.5</v>
      </c>
      <c r="AC4" s="2">
        <v>103.9</v>
      </c>
      <c r="AD4" s="2">
        <v>104.6</v>
      </c>
    </row>
    <row r="5" spans="1:30" x14ac:dyDescent="0.35">
      <c r="A5" s="2" t="s">
        <v>30</v>
      </c>
      <c r="B5" s="2">
        <v>2013</v>
      </c>
      <c r="C5" s="2" t="s">
        <v>36</v>
      </c>
      <c r="D5" s="2">
        <v>109.2</v>
      </c>
      <c r="E5" s="2">
        <v>108.7</v>
      </c>
      <c r="F5" s="2">
        <v>110.2</v>
      </c>
      <c r="G5" s="2">
        <v>105.4</v>
      </c>
      <c r="H5" s="2">
        <v>106.7</v>
      </c>
      <c r="I5" s="2">
        <v>104</v>
      </c>
      <c r="J5" s="2">
        <v>102.4</v>
      </c>
      <c r="K5" s="2">
        <v>105.9</v>
      </c>
      <c r="L5" s="2">
        <v>105.7</v>
      </c>
      <c r="M5" s="2">
        <v>103.1</v>
      </c>
      <c r="N5" s="2">
        <v>105.1</v>
      </c>
      <c r="O5" s="2">
        <v>107.7</v>
      </c>
      <c r="P5" s="2">
        <v>106.3</v>
      </c>
      <c r="Q5" s="2">
        <v>105.6</v>
      </c>
      <c r="R5" s="2">
        <v>107.1</v>
      </c>
      <c r="S5" s="2">
        <v>106.3</v>
      </c>
      <c r="T5" s="2">
        <v>107</v>
      </c>
      <c r="U5" s="2" t="s">
        <v>32</v>
      </c>
      <c r="V5" s="2">
        <v>106.2</v>
      </c>
      <c r="W5" s="2">
        <v>105.2</v>
      </c>
      <c r="X5" s="2">
        <v>104.4</v>
      </c>
      <c r="Y5" s="2">
        <v>103.9</v>
      </c>
      <c r="Z5" s="2">
        <v>104</v>
      </c>
      <c r="AA5" s="2">
        <v>104.1</v>
      </c>
      <c r="AB5" s="2">
        <v>104.6</v>
      </c>
      <c r="AC5" s="2">
        <v>104.4</v>
      </c>
      <c r="AD5" s="2">
        <v>105.8</v>
      </c>
    </row>
    <row r="6" spans="1:30" x14ac:dyDescent="0.35">
      <c r="A6" s="2" t="s">
        <v>33</v>
      </c>
      <c r="B6" s="2">
        <v>2013</v>
      </c>
      <c r="C6" s="2" t="s">
        <v>36</v>
      </c>
      <c r="D6" s="2">
        <v>112.9</v>
      </c>
      <c r="E6" s="2">
        <v>112.9</v>
      </c>
      <c r="F6" s="2">
        <v>116.9</v>
      </c>
      <c r="G6" s="2">
        <v>104</v>
      </c>
      <c r="H6" s="2">
        <v>103.5</v>
      </c>
      <c r="I6" s="2">
        <v>103.1</v>
      </c>
      <c r="J6" s="2">
        <v>104.9</v>
      </c>
      <c r="K6" s="2">
        <v>104.1</v>
      </c>
      <c r="L6" s="2">
        <v>103.8</v>
      </c>
      <c r="M6" s="2">
        <v>102.3</v>
      </c>
      <c r="N6" s="2">
        <v>106</v>
      </c>
      <c r="O6" s="2">
        <v>109</v>
      </c>
      <c r="P6" s="2">
        <v>107.2</v>
      </c>
      <c r="Q6" s="2">
        <v>106</v>
      </c>
      <c r="R6" s="2">
        <v>106.6</v>
      </c>
      <c r="S6" s="2">
        <v>105.5</v>
      </c>
      <c r="T6" s="2">
        <v>106.4</v>
      </c>
      <c r="U6" s="2" t="s">
        <v>37</v>
      </c>
      <c r="V6" s="2">
        <v>105.7</v>
      </c>
      <c r="W6" s="2">
        <v>105.2</v>
      </c>
      <c r="X6" s="2">
        <v>104.7</v>
      </c>
      <c r="Y6" s="2">
        <v>104.4</v>
      </c>
      <c r="Z6" s="2">
        <v>103.3</v>
      </c>
      <c r="AA6" s="2">
        <v>103.7</v>
      </c>
      <c r="AB6" s="2">
        <v>104.3</v>
      </c>
      <c r="AC6" s="2">
        <v>104.3</v>
      </c>
      <c r="AD6" s="2">
        <v>104.7</v>
      </c>
    </row>
    <row r="7" spans="1:30" x14ac:dyDescent="0.35">
      <c r="A7" s="2" t="s">
        <v>35</v>
      </c>
      <c r="B7" s="2">
        <v>2013</v>
      </c>
      <c r="C7" s="2" t="s">
        <v>36</v>
      </c>
      <c r="D7" s="2">
        <v>110.4</v>
      </c>
      <c r="E7" s="2">
        <v>110.2</v>
      </c>
      <c r="F7" s="2">
        <v>112.8</v>
      </c>
      <c r="G7" s="2">
        <v>104.9</v>
      </c>
      <c r="H7" s="2">
        <v>105.5</v>
      </c>
      <c r="I7" s="2">
        <v>103.6</v>
      </c>
      <c r="J7" s="2">
        <v>103.2</v>
      </c>
      <c r="K7" s="2">
        <v>105.3</v>
      </c>
      <c r="L7" s="2">
        <v>105.1</v>
      </c>
      <c r="M7" s="2">
        <v>102.8</v>
      </c>
      <c r="N7" s="2">
        <v>105.5</v>
      </c>
      <c r="O7" s="2">
        <v>108.3</v>
      </c>
      <c r="P7" s="2">
        <v>106.6</v>
      </c>
      <c r="Q7" s="2">
        <v>105.7</v>
      </c>
      <c r="R7" s="2">
        <v>106.9</v>
      </c>
      <c r="S7" s="2">
        <v>106</v>
      </c>
      <c r="T7" s="2">
        <v>106.8</v>
      </c>
      <c r="U7" s="2" t="s">
        <v>37</v>
      </c>
      <c r="V7" s="2">
        <v>106</v>
      </c>
      <c r="W7" s="2">
        <v>105.2</v>
      </c>
      <c r="X7" s="2">
        <v>104.5</v>
      </c>
      <c r="Y7" s="2">
        <v>104.2</v>
      </c>
      <c r="Z7" s="2">
        <v>103.6</v>
      </c>
      <c r="AA7" s="2">
        <v>103.9</v>
      </c>
      <c r="AB7" s="2">
        <v>104.5</v>
      </c>
      <c r="AC7" s="2">
        <v>104.4</v>
      </c>
      <c r="AD7" s="2">
        <v>105.3</v>
      </c>
    </row>
    <row r="8" spans="1:30" x14ac:dyDescent="0.35">
      <c r="A8" s="2" t="s">
        <v>30</v>
      </c>
      <c r="B8" s="2">
        <v>2013</v>
      </c>
      <c r="C8" s="2" t="s">
        <v>38</v>
      </c>
      <c r="D8" s="2">
        <v>110.2</v>
      </c>
      <c r="E8" s="2">
        <v>108.8</v>
      </c>
      <c r="F8" s="2">
        <v>109.9</v>
      </c>
      <c r="G8" s="2">
        <v>105.6</v>
      </c>
      <c r="H8" s="2">
        <v>106.2</v>
      </c>
      <c r="I8" s="2">
        <v>105.7</v>
      </c>
      <c r="J8" s="2">
        <v>101.4</v>
      </c>
      <c r="K8" s="2">
        <v>105.7</v>
      </c>
      <c r="L8" s="2">
        <v>105</v>
      </c>
      <c r="M8" s="2">
        <v>103.3</v>
      </c>
      <c r="N8" s="2">
        <v>105.6</v>
      </c>
      <c r="O8" s="2">
        <v>108.2</v>
      </c>
      <c r="P8" s="2">
        <v>106.6</v>
      </c>
      <c r="Q8" s="2">
        <v>106.5</v>
      </c>
      <c r="R8" s="2">
        <v>107.6</v>
      </c>
      <c r="S8" s="2">
        <v>106.8</v>
      </c>
      <c r="T8" s="2">
        <v>107.5</v>
      </c>
      <c r="U8" s="2" t="s">
        <v>32</v>
      </c>
      <c r="V8" s="2">
        <v>106.1</v>
      </c>
      <c r="W8" s="2">
        <v>105.6</v>
      </c>
      <c r="X8" s="2">
        <v>104.7</v>
      </c>
      <c r="Y8" s="2">
        <v>104.6</v>
      </c>
      <c r="Z8" s="2">
        <v>104</v>
      </c>
      <c r="AA8" s="2">
        <v>104.3</v>
      </c>
      <c r="AB8" s="2">
        <v>104.3</v>
      </c>
      <c r="AC8" s="2">
        <v>104.6</v>
      </c>
      <c r="AD8" s="2">
        <v>106</v>
      </c>
    </row>
    <row r="9" spans="1:30" x14ac:dyDescent="0.35">
      <c r="A9" s="2" t="s">
        <v>33</v>
      </c>
      <c r="B9" s="2">
        <v>2013</v>
      </c>
      <c r="C9" s="2" t="s">
        <v>38</v>
      </c>
      <c r="D9" s="2">
        <v>113.9</v>
      </c>
      <c r="E9" s="2">
        <v>111.4</v>
      </c>
      <c r="F9" s="2">
        <v>113.2</v>
      </c>
      <c r="G9" s="2">
        <v>104.3</v>
      </c>
      <c r="H9" s="2">
        <v>102.7</v>
      </c>
      <c r="I9" s="2">
        <v>104.9</v>
      </c>
      <c r="J9" s="2">
        <v>103.8</v>
      </c>
      <c r="K9" s="2">
        <v>103.5</v>
      </c>
      <c r="L9" s="2">
        <v>102.6</v>
      </c>
      <c r="M9" s="2">
        <v>102.4</v>
      </c>
      <c r="N9" s="2">
        <v>107</v>
      </c>
      <c r="O9" s="2">
        <v>109.8</v>
      </c>
      <c r="P9" s="2">
        <v>107.3</v>
      </c>
      <c r="Q9" s="2">
        <v>106.8</v>
      </c>
      <c r="R9" s="2">
        <v>107.2</v>
      </c>
      <c r="S9" s="2">
        <v>106</v>
      </c>
      <c r="T9" s="2">
        <v>107</v>
      </c>
      <c r="U9" s="2" t="s">
        <v>37</v>
      </c>
      <c r="V9" s="2">
        <v>106</v>
      </c>
      <c r="W9" s="2">
        <v>105.7</v>
      </c>
      <c r="X9" s="2">
        <v>105.2</v>
      </c>
      <c r="Y9" s="2">
        <v>105.5</v>
      </c>
      <c r="Z9" s="2">
        <v>103.5</v>
      </c>
      <c r="AA9" s="2">
        <v>103.8</v>
      </c>
      <c r="AB9" s="2">
        <v>104.2</v>
      </c>
      <c r="AC9" s="2">
        <v>104.9</v>
      </c>
      <c r="AD9" s="2">
        <v>105</v>
      </c>
    </row>
    <row r="10" spans="1:30" x14ac:dyDescent="0.35">
      <c r="A10" s="2" t="s">
        <v>35</v>
      </c>
      <c r="B10" s="2">
        <v>2013</v>
      </c>
      <c r="C10" s="2" t="s">
        <v>38</v>
      </c>
      <c r="D10" s="2">
        <v>111.4</v>
      </c>
      <c r="E10" s="2">
        <v>109.7</v>
      </c>
      <c r="F10" s="2">
        <v>111.2</v>
      </c>
      <c r="G10" s="2">
        <v>105.1</v>
      </c>
      <c r="H10" s="2">
        <v>104.9</v>
      </c>
      <c r="I10" s="2">
        <v>105.3</v>
      </c>
      <c r="J10" s="2">
        <v>102.2</v>
      </c>
      <c r="K10" s="2">
        <v>105</v>
      </c>
      <c r="L10" s="2">
        <v>104.2</v>
      </c>
      <c r="M10" s="2">
        <v>103</v>
      </c>
      <c r="N10" s="2">
        <v>106.2</v>
      </c>
      <c r="O10" s="2">
        <v>108.9</v>
      </c>
      <c r="P10" s="2">
        <v>106.9</v>
      </c>
      <c r="Q10" s="2">
        <v>106.6</v>
      </c>
      <c r="R10" s="2">
        <v>107.4</v>
      </c>
      <c r="S10" s="2">
        <v>106.5</v>
      </c>
      <c r="T10" s="2">
        <v>107.3</v>
      </c>
      <c r="U10" s="2" t="s">
        <v>37</v>
      </c>
      <c r="V10" s="2">
        <v>106.1</v>
      </c>
      <c r="W10" s="2">
        <v>105.6</v>
      </c>
      <c r="X10" s="2">
        <v>104.9</v>
      </c>
      <c r="Y10" s="2">
        <v>105.1</v>
      </c>
      <c r="Z10" s="2">
        <v>103.7</v>
      </c>
      <c r="AA10" s="2">
        <v>104</v>
      </c>
      <c r="AB10" s="2">
        <v>104.3</v>
      </c>
      <c r="AC10" s="2">
        <v>104.7</v>
      </c>
      <c r="AD10" s="2">
        <v>105.5</v>
      </c>
    </row>
    <row r="11" spans="1:30" x14ac:dyDescent="0.35">
      <c r="A11" s="2" t="s">
        <v>30</v>
      </c>
      <c r="B11" s="2">
        <v>2013</v>
      </c>
      <c r="C11" s="2" t="s">
        <v>39</v>
      </c>
      <c r="D11" s="2">
        <v>110.2</v>
      </c>
      <c r="E11" s="2">
        <v>109.5</v>
      </c>
      <c r="F11" s="2">
        <v>106.9</v>
      </c>
      <c r="G11" s="2">
        <v>106.3</v>
      </c>
      <c r="H11" s="2">
        <v>105.7</v>
      </c>
      <c r="I11" s="2">
        <v>108.3</v>
      </c>
      <c r="J11" s="2">
        <v>103.4</v>
      </c>
      <c r="K11" s="2">
        <v>105.7</v>
      </c>
      <c r="L11" s="2">
        <v>104.2</v>
      </c>
      <c r="M11" s="2">
        <v>103.2</v>
      </c>
      <c r="N11" s="2">
        <v>106.5</v>
      </c>
      <c r="O11" s="2">
        <v>108.8</v>
      </c>
      <c r="P11" s="2">
        <v>107.1</v>
      </c>
      <c r="Q11" s="2">
        <v>107.1</v>
      </c>
      <c r="R11" s="2">
        <v>108.1</v>
      </c>
      <c r="S11" s="2">
        <v>107.4</v>
      </c>
      <c r="T11" s="2">
        <v>108</v>
      </c>
      <c r="U11" s="2" t="s">
        <v>32</v>
      </c>
      <c r="V11" s="2">
        <v>106.5</v>
      </c>
      <c r="W11" s="2">
        <v>106.1</v>
      </c>
      <c r="X11" s="2">
        <v>105.1</v>
      </c>
      <c r="Y11" s="2">
        <v>104.4</v>
      </c>
      <c r="Z11" s="2">
        <v>104.5</v>
      </c>
      <c r="AA11" s="2">
        <v>104.8</v>
      </c>
      <c r="AB11" s="2">
        <v>102.7</v>
      </c>
      <c r="AC11" s="2">
        <v>104.6</v>
      </c>
      <c r="AD11" s="2">
        <v>106.4</v>
      </c>
    </row>
    <row r="12" spans="1:30" x14ac:dyDescent="0.35">
      <c r="A12" s="2" t="s">
        <v>33</v>
      </c>
      <c r="B12" s="2">
        <v>2013</v>
      </c>
      <c r="C12" s="2" t="s">
        <v>39</v>
      </c>
      <c r="D12" s="2">
        <v>114.6</v>
      </c>
      <c r="E12" s="2">
        <v>113.4</v>
      </c>
      <c r="F12" s="2">
        <v>106</v>
      </c>
      <c r="G12" s="2">
        <v>104.7</v>
      </c>
      <c r="H12" s="2">
        <v>102.1</v>
      </c>
      <c r="I12" s="2">
        <v>109.5</v>
      </c>
      <c r="J12" s="2">
        <v>109.7</v>
      </c>
      <c r="K12" s="2">
        <v>104.6</v>
      </c>
      <c r="L12" s="2">
        <v>102</v>
      </c>
      <c r="M12" s="2">
        <v>103.5</v>
      </c>
      <c r="N12" s="2">
        <v>108.2</v>
      </c>
      <c r="O12" s="2">
        <v>110.6</v>
      </c>
      <c r="P12" s="2">
        <v>108.8</v>
      </c>
      <c r="Q12" s="2">
        <v>108.5</v>
      </c>
      <c r="R12" s="2">
        <v>107.9</v>
      </c>
      <c r="S12" s="2">
        <v>106.4</v>
      </c>
      <c r="T12" s="2">
        <v>107.7</v>
      </c>
      <c r="U12" s="2" t="s">
        <v>40</v>
      </c>
      <c r="V12" s="2">
        <v>106.4</v>
      </c>
      <c r="W12" s="2">
        <v>106.5</v>
      </c>
      <c r="X12" s="2">
        <v>105.7</v>
      </c>
      <c r="Y12" s="2">
        <v>105</v>
      </c>
      <c r="Z12" s="2">
        <v>104</v>
      </c>
      <c r="AA12" s="2">
        <v>105.2</v>
      </c>
      <c r="AB12" s="2">
        <v>103.2</v>
      </c>
      <c r="AC12" s="2">
        <v>105.1</v>
      </c>
      <c r="AD12" s="2">
        <v>105.7</v>
      </c>
    </row>
    <row r="13" spans="1:30" x14ac:dyDescent="0.35">
      <c r="A13" s="2" t="s">
        <v>35</v>
      </c>
      <c r="B13" s="2">
        <v>2013</v>
      </c>
      <c r="C13" s="2" t="s">
        <v>39</v>
      </c>
      <c r="D13" s="2">
        <v>111.6</v>
      </c>
      <c r="E13" s="2">
        <v>110.9</v>
      </c>
      <c r="F13" s="2">
        <v>106.6</v>
      </c>
      <c r="G13" s="2">
        <v>105.7</v>
      </c>
      <c r="H13" s="2">
        <v>104.4</v>
      </c>
      <c r="I13" s="2">
        <v>108.9</v>
      </c>
      <c r="J13" s="2">
        <v>105.5</v>
      </c>
      <c r="K13" s="2">
        <v>105.3</v>
      </c>
      <c r="L13" s="2">
        <v>103.5</v>
      </c>
      <c r="M13" s="2">
        <v>103.3</v>
      </c>
      <c r="N13" s="2">
        <v>107.2</v>
      </c>
      <c r="O13" s="2">
        <v>109.6</v>
      </c>
      <c r="P13" s="2">
        <v>107.7</v>
      </c>
      <c r="Q13" s="2">
        <v>107.5</v>
      </c>
      <c r="R13" s="2">
        <v>108</v>
      </c>
      <c r="S13" s="2">
        <v>107</v>
      </c>
      <c r="T13" s="2">
        <v>107.9</v>
      </c>
      <c r="U13" s="2" t="s">
        <v>40</v>
      </c>
      <c r="V13" s="2">
        <v>106.5</v>
      </c>
      <c r="W13" s="2">
        <v>106.3</v>
      </c>
      <c r="X13" s="2">
        <v>105.3</v>
      </c>
      <c r="Y13" s="2">
        <v>104.7</v>
      </c>
      <c r="Z13" s="2">
        <v>104.2</v>
      </c>
      <c r="AA13" s="2">
        <v>105</v>
      </c>
      <c r="AB13" s="2">
        <v>102.9</v>
      </c>
      <c r="AC13" s="2">
        <v>104.8</v>
      </c>
      <c r="AD13" s="2">
        <v>106.1</v>
      </c>
    </row>
    <row r="14" spans="1:30" x14ac:dyDescent="0.35">
      <c r="A14" s="2" t="s">
        <v>30</v>
      </c>
      <c r="B14" s="2">
        <v>2013</v>
      </c>
      <c r="C14" s="2" t="s">
        <v>41</v>
      </c>
      <c r="D14" s="2">
        <v>110.9</v>
      </c>
      <c r="E14" s="2">
        <v>109.8</v>
      </c>
      <c r="F14" s="2">
        <v>105.9</v>
      </c>
      <c r="G14" s="2">
        <v>107.5</v>
      </c>
      <c r="H14" s="2">
        <v>105.3</v>
      </c>
      <c r="I14" s="2">
        <v>108.1</v>
      </c>
      <c r="J14" s="2">
        <v>107.3</v>
      </c>
      <c r="K14" s="2">
        <v>106.1</v>
      </c>
      <c r="L14" s="2">
        <v>103.7</v>
      </c>
      <c r="M14" s="2">
        <v>104</v>
      </c>
      <c r="N14" s="2">
        <v>107.4</v>
      </c>
      <c r="O14" s="2">
        <v>109.9</v>
      </c>
      <c r="P14" s="2">
        <v>108.1</v>
      </c>
      <c r="Q14" s="2">
        <v>108.1</v>
      </c>
      <c r="R14" s="2">
        <v>108.8</v>
      </c>
      <c r="S14" s="2">
        <v>107.9</v>
      </c>
      <c r="T14" s="2">
        <v>108.6</v>
      </c>
      <c r="U14" s="2" t="s">
        <v>32</v>
      </c>
      <c r="V14" s="2">
        <v>107.5</v>
      </c>
      <c r="W14" s="2">
        <v>106.8</v>
      </c>
      <c r="X14" s="2">
        <v>105.7</v>
      </c>
      <c r="Y14" s="2">
        <v>104.1</v>
      </c>
      <c r="Z14" s="2">
        <v>105</v>
      </c>
      <c r="AA14" s="2">
        <v>105.5</v>
      </c>
      <c r="AB14" s="2">
        <v>102.1</v>
      </c>
      <c r="AC14" s="2">
        <v>104.8</v>
      </c>
      <c r="AD14" s="2">
        <v>107.2</v>
      </c>
    </row>
    <row r="15" spans="1:30" x14ac:dyDescent="0.35">
      <c r="A15" s="2" t="s">
        <v>33</v>
      </c>
      <c r="B15" s="2">
        <v>2013</v>
      </c>
      <c r="C15" s="2" t="s">
        <v>41</v>
      </c>
      <c r="D15" s="2">
        <v>115.4</v>
      </c>
      <c r="E15" s="2">
        <v>114.2</v>
      </c>
      <c r="F15" s="2">
        <v>102.7</v>
      </c>
      <c r="G15" s="2">
        <v>105.5</v>
      </c>
      <c r="H15" s="2">
        <v>101.5</v>
      </c>
      <c r="I15" s="2">
        <v>110.6</v>
      </c>
      <c r="J15" s="2">
        <v>123.7</v>
      </c>
      <c r="K15" s="2">
        <v>105.2</v>
      </c>
      <c r="L15" s="2">
        <v>101.9</v>
      </c>
      <c r="M15" s="2">
        <v>105</v>
      </c>
      <c r="N15" s="2">
        <v>109.1</v>
      </c>
      <c r="O15" s="2">
        <v>111.3</v>
      </c>
      <c r="P15" s="2">
        <v>111.1</v>
      </c>
      <c r="Q15" s="2">
        <v>109.8</v>
      </c>
      <c r="R15" s="2">
        <v>108.5</v>
      </c>
      <c r="S15" s="2">
        <v>106.7</v>
      </c>
      <c r="T15" s="2">
        <v>108.3</v>
      </c>
      <c r="U15" s="2" t="s">
        <v>40</v>
      </c>
      <c r="V15" s="2">
        <v>107.2</v>
      </c>
      <c r="W15" s="2">
        <v>107.1</v>
      </c>
      <c r="X15" s="2">
        <v>106.2</v>
      </c>
      <c r="Y15" s="2">
        <v>103.9</v>
      </c>
      <c r="Z15" s="2">
        <v>104.6</v>
      </c>
      <c r="AA15" s="2">
        <v>105.7</v>
      </c>
      <c r="AB15" s="2">
        <v>102.6</v>
      </c>
      <c r="AC15" s="2">
        <v>104.9</v>
      </c>
      <c r="AD15" s="2">
        <v>106.6</v>
      </c>
    </row>
    <row r="16" spans="1:30" x14ac:dyDescent="0.35">
      <c r="A16" s="2" t="s">
        <v>35</v>
      </c>
      <c r="B16" s="2">
        <v>2013</v>
      </c>
      <c r="C16" s="2" t="s">
        <v>41</v>
      </c>
      <c r="D16" s="2">
        <v>112.3</v>
      </c>
      <c r="E16" s="2">
        <v>111.3</v>
      </c>
      <c r="F16" s="2">
        <v>104.7</v>
      </c>
      <c r="G16" s="2">
        <v>106.8</v>
      </c>
      <c r="H16" s="2">
        <v>103.9</v>
      </c>
      <c r="I16" s="2">
        <v>109.3</v>
      </c>
      <c r="J16" s="2">
        <v>112.9</v>
      </c>
      <c r="K16" s="2">
        <v>105.8</v>
      </c>
      <c r="L16" s="2">
        <v>103.1</v>
      </c>
      <c r="M16" s="2">
        <v>104.3</v>
      </c>
      <c r="N16" s="2">
        <v>108.1</v>
      </c>
      <c r="O16" s="2">
        <v>110.5</v>
      </c>
      <c r="P16" s="2">
        <v>109.2</v>
      </c>
      <c r="Q16" s="2">
        <v>108.6</v>
      </c>
      <c r="R16" s="2">
        <v>108.7</v>
      </c>
      <c r="S16" s="2">
        <v>107.4</v>
      </c>
      <c r="T16" s="2">
        <v>108.5</v>
      </c>
      <c r="U16" s="2" t="s">
        <v>40</v>
      </c>
      <c r="V16" s="2">
        <v>107.4</v>
      </c>
      <c r="W16" s="2">
        <v>106.9</v>
      </c>
      <c r="X16" s="2">
        <v>105.9</v>
      </c>
      <c r="Y16" s="2">
        <v>104</v>
      </c>
      <c r="Z16" s="2">
        <v>104.8</v>
      </c>
      <c r="AA16" s="2">
        <v>105.6</v>
      </c>
      <c r="AB16" s="2">
        <v>102.3</v>
      </c>
      <c r="AC16" s="2">
        <v>104.8</v>
      </c>
      <c r="AD16" s="2">
        <v>106.9</v>
      </c>
    </row>
    <row r="17" spans="1:30" x14ac:dyDescent="0.35">
      <c r="A17" s="2" t="s">
        <v>30</v>
      </c>
      <c r="B17" s="2">
        <v>2013</v>
      </c>
      <c r="C17" s="2" t="s">
        <v>42</v>
      </c>
      <c r="D17" s="2">
        <v>112.3</v>
      </c>
      <c r="E17" s="2">
        <v>112.1</v>
      </c>
      <c r="F17" s="2">
        <v>108.1</v>
      </c>
      <c r="G17" s="2">
        <v>108.3</v>
      </c>
      <c r="H17" s="2">
        <v>105.9</v>
      </c>
      <c r="I17" s="2">
        <v>109.2</v>
      </c>
      <c r="J17" s="2">
        <v>118</v>
      </c>
      <c r="K17" s="2">
        <v>106.8</v>
      </c>
      <c r="L17" s="2">
        <v>104.1</v>
      </c>
      <c r="M17" s="2">
        <v>105.4</v>
      </c>
      <c r="N17" s="2">
        <v>108.2</v>
      </c>
      <c r="O17" s="2">
        <v>111</v>
      </c>
      <c r="P17" s="2">
        <v>110.6</v>
      </c>
      <c r="Q17" s="2">
        <v>109</v>
      </c>
      <c r="R17" s="2">
        <v>109.7</v>
      </c>
      <c r="S17" s="2">
        <v>108.8</v>
      </c>
      <c r="T17" s="2">
        <v>109.5</v>
      </c>
      <c r="U17" s="2" t="s">
        <v>32</v>
      </c>
      <c r="V17" s="2">
        <v>108.5</v>
      </c>
      <c r="W17" s="2">
        <v>107.5</v>
      </c>
      <c r="X17" s="2">
        <v>106.3</v>
      </c>
      <c r="Y17" s="2">
        <v>105</v>
      </c>
      <c r="Z17" s="2">
        <v>105.6</v>
      </c>
      <c r="AA17" s="2">
        <v>106.5</v>
      </c>
      <c r="AB17" s="2">
        <v>102.5</v>
      </c>
      <c r="AC17" s="2">
        <v>105.5</v>
      </c>
      <c r="AD17" s="2">
        <v>108.9</v>
      </c>
    </row>
    <row r="18" spans="1:30" x14ac:dyDescent="0.35">
      <c r="A18" s="2" t="s">
        <v>33</v>
      </c>
      <c r="B18" s="2">
        <v>2013</v>
      </c>
      <c r="C18" s="2" t="s">
        <v>42</v>
      </c>
      <c r="D18" s="2">
        <v>117</v>
      </c>
      <c r="E18" s="2">
        <v>120.1</v>
      </c>
      <c r="F18" s="2">
        <v>112.5</v>
      </c>
      <c r="G18" s="2">
        <v>107.3</v>
      </c>
      <c r="H18" s="2">
        <v>101.3</v>
      </c>
      <c r="I18" s="2">
        <v>112.4</v>
      </c>
      <c r="J18" s="2">
        <v>143.6</v>
      </c>
      <c r="K18" s="2">
        <v>105.4</v>
      </c>
      <c r="L18" s="2">
        <v>101.4</v>
      </c>
      <c r="M18" s="2">
        <v>106.4</v>
      </c>
      <c r="N18" s="2">
        <v>110</v>
      </c>
      <c r="O18" s="2">
        <v>112.2</v>
      </c>
      <c r="P18" s="2">
        <v>115</v>
      </c>
      <c r="Q18" s="2">
        <v>110.9</v>
      </c>
      <c r="R18" s="2">
        <v>109.2</v>
      </c>
      <c r="S18" s="2">
        <v>107.2</v>
      </c>
      <c r="T18" s="2">
        <v>108.9</v>
      </c>
      <c r="U18" s="2" t="s">
        <v>43</v>
      </c>
      <c r="V18" s="2">
        <v>108</v>
      </c>
      <c r="W18" s="2">
        <v>107.7</v>
      </c>
      <c r="X18" s="2">
        <v>106.5</v>
      </c>
      <c r="Y18" s="2">
        <v>105.2</v>
      </c>
      <c r="Z18" s="2">
        <v>105.2</v>
      </c>
      <c r="AA18" s="2">
        <v>108.1</v>
      </c>
      <c r="AB18" s="2">
        <v>103.3</v>
      </c>
      <c r="AC18" s="2">
        <v>106.1</v>
      </c>
      <c r="AD18" s="2">
        <v>109.7</v>
      </c>
    </row>
    <row r="19" spans="1:30" x14ac:dyDescent="0.35">
      <c r="A19" s="2" t="s">
        <v>35</v>
      </c>
      <c r="B19" s="2">
        <v>2013</v>
      </c>
      <c r="C19" s="2" t="s">
        <v>42</v>
      </c>
      <c r="D19" s="2">
        <v>113.8</v>
      </c>
      <c r="E19" s="2">
        <v>114.9</v>
      </c>
      <c r="F19" s="2">
        <v>109.8</v>
      </c>
      <c r="G19" s="2">
        <v>107.9</v>
      </c>
      <c r="H19" s="2">
        <v>104.2</v>
      </c>
      <c r="I19" s="2">
        <v>110.7</v>
      </c>
      <c r="J19" s="2">
        <v>126.7</v>
      </c>
      <c r="K19" s="2">
        <v>106.3</v>
      </c>
      <c r="L19" s="2">
        <v>103.2</v>
      </c>
      <c r="M19" s="2">
        <v>105.7</v>
      </c>
      <c r="N19" s="2">
        <v>109</v>
      </c>
      <c r="O19" s="2">
        <v>111.6</v>
      </c>
      <c r="P19" s="2">
        <v>112.2</v>
      </c>
      <c r="Q19" s="2">
        <v>109.5</v>
      </c>
      <c r="R19" s="2">
        <v>109.5</v>
      </c>
      <c r="S19" s="2">
        <v>108.1</v>
      </c>
      <c r="T19" s="2">
        <v>109.3</v>
      </c>
      <c r="U19" s="2" t="s">
        <v>43</v>
      </c>
      <c r="V19" s="2">
        <v>108.3</v>
      </c>
      <c r="W19" s="2">
        <v>107.6</v>
      </c>
      <c r="X19" s="2">
        <v>106.4</v>
      </c>
      <c r="Y19" s="2">
        <v>105.1</v>
      </c>
      <c r="Z19" s="2">
        <v>105.4</v>
      </c>
      <c r="AA19" s="2">
        <v>107.4</v>
      </c>
      <c r="AB19" s="2">
        <v>102.8</v>
      </c>
      <c r="AC19" s="2">
        <v>105.8</v>
      </c>
      <c r="AD19" s="2">
        <v>109.3</v>
      </c>
    </row>
    <row r="20" spans="1:30" x14ac:dyDescent="0.35">
      <c r="A20" s="2" t="s">
        <v>30</v>
      </c>
      <c r="B20" s="2">
        <v>2013</v>
      </c>
      <c r="C20" s="2" t="s">
        <v>44</v>
      </c>
      <c r="D20" s="2">
        <v>113.4</v>
      </c>
      <c r="E20" s="2">
        <v>114.9</v>
      </c>
      <c r="F20" s="2">
        <v>110.5</v>
      </c>
      <c r="G20" s="2">
        <v>109.3</v>
      </c>
      <c r="H20" s="2">
        <v>106.2</v>
      </c>
      <c r="I20" s="2">
        <v>110.3</v>
      </c>
      <c r="J20" s="2">
        <v>129.19999999999999</v>
      </c>
      <c r="K20" s="2">
        <v>107.1</v>
      </c>
      <c r="L20" s="2">
        <v>104.3</v>
      </c>
      <c r="M20" s="2">
        <v>106.4</v>
      </c>
      <c r="N20" s="2">
        <v>109.1</v>
      </c>
      <c r="O20" s="2">
        <v>112.1</v>
      </c>
      <c r="P20" s="2">
        <v>113.1</v>
      </c>
      <c r="Q20" s="2">
        <v>109.8</v>
      </c>
      <c r="R20" s="2">
        <v>110.5</v>
      </c>
      <c r="S20" s="2">
        <v>109.5</v>
      </c>
      <c r="T20" s="2">
        <v>110.3</v>
      </c>
      <c r="U20" s="2" t="s">
        <v>32</v>
      </c>
      <c r="V20" s="2">
        <v>109.5</v>
      </c>
      <c r="W20" s="2">
        <v>108.3</v>
      </c>
      <c r="X20" s="2">
        <v>106.9</v>
      </c>
      <c r="Y20" s="2">
        <v>106.8</v>
      </c>
      <c r="Z20" s="2">
        <v>106.4</v>
      </c>
      <c r="AA20" s="2">
        <v>107.8</v>
      </c>
      <c r="AB20" s="2">
        <v>102.5</v>
      </c>
      <c r="AC20" s="2">
        <v>106.5</v>
      </c>
      <c r="AD20" s="2">
        <v>110.7</v>
      </c>
    </row>
    <row r="21" spans="1:30" x14ac:dyDescent="0.35">
      <c r="A21" s="2" t="s">
        <v>33</v>
      </c>
      <c r="B21" s="2">
        <v>2013</v>
      </c>
      <c r="C21" s="2" t="s">
        <v>44</v>
      </c>
      <c r="D21" s="2">
        <v>117.8</v>
      </c>
      <c r="E21" s="2">
        <v>119.2</v>
      </c>
      <c r="F21" s="2">
        <v>114</v>
      </c>
      <c r="G21" s="2">
        <v>108.3</v>
      </c>
      <c r="H21" s="2">
        <v>101.1</v>
      </c>
      <c r="I21" s="2">
        <v>113.2</v>
      </c>
      <c r="J21" s="2">
        <v>160.9</v>
      </c>
      <c r="K21" s="2">
        <v>105.1</v>
      </c>
      <c r="L21" s="2">
        <v>101.3</v>
      </c>
      <c r="M21" s="2">
        <v>107.5</v>
      </c>
      <c r="N21" s="2">
        <v>110.4</v>
      </c>
      <c r="O21" s="2">
        <v>113.1</v>
      </c>
      <c r="P21" s="2">
        <v>117.5</v>
      </c>
      <c r="Q21" s="2">
        <v>111.7</v>
      </c>
      <c r="R21" s="2">
        <v>109.8</v>
      </c>
      <c r="S21" s="2">
        <v>107.8</v>
      </c>
      <c r="T21" s="2">
        <v>109.5</v>
      </c>
      <c r="U21" s="2" t="s">
        <v>45</v>
      </c>
      <c r="V21" s="2">
        <v>108.6</v>
      </c>
      <c r="W21" s="2">
        <v>108.1</v>
      </c>
      <c r="X21" s="2">
        <v>107.1</v>
      </c>
      <c r="Y21" s="2">
        <v>107.3</v>
      </c>
      <c r="Z21" s="2">
        <v>105.9</v>
      </c>
      <c r="AA21" s="2">
        <v>110.1</v>
      </c>
      <c r="AB21" s="2">
        <v>103.2</v>
      </c>
      <c r="AC21" s="2">
        <v>107.3</v>
      </c>
      <c r="AD21" s="2">
        <v>111.4</v>
      </c>
    </row>
    <row r="22" spans="1:30" x14ac:dyDescent="0.35">
      <c r="A22" s="2" t="s">
        <v>35</v>
      </c>
      <c r="B22" s="2">
        <v>2013</v>
      </c>
      <c r="C22" s="2" t="s">
        <v>44</v>
      </c>
      <c r="D22" s="2">
        <v>114.8</v>
      </c>
      <c r="E22" s="2">
        <v>116.4</v>
      </c>
      <c r="F22" s="2">
        <v>111.9</v>
      </c>
      <c r="G22" s="2">
        <v>108.9</v>
      </c>
      <c r="H22" s="2">
        <v>104.3</v>
      </c>
      <c r="I22" s="2">
        <v>111.7</v>
      </c>
      <c r="J22" s="2">
        <v>140</v>
      </c>
      <c r="K22" s="2">
        <v>106.4</v>
      </c>
      <c r="L22" s="2">
        <v>103.3</v>
      </c>
      <c r="M22" s="2">
        <v>106.8</v>
      </c>
      <c r="N22" s="2">
        <v>109.6</v>
      </c>
      <c r="O22" s="2">
        <v>112.6</v>
      </c>
      <c r="P22" s="2">
        <v>114.7</v>
      </c>
      <c r="Q22" s="2">
        <v>110.3</v>
      </c>
      <c r="R22" s="2">
        <v>110.2</v>
      </c>
      <c r="S22" s="2">
        <v>108.8</v>
      </c>
      <c r="T22" s="2">
        <v>110</v>
      </c>
      <c r="U22" s="2" t="s">
        <v>45</v>
      </c>
      <c r="V22" s="2">
        <v>109.2</v>
      </c>
      <c r="W22" s="2">
        <v>108.2</v>
      </c>
      <c r="X22" s="2">
        <v>107</v>
      </c>
      <c r="Y22" s="2">
        <v>107.1</v>
      </c>
      <c r="Z22" s="2">
        <v>106.1</v>
      </c>
      <c r="AA22" s="2">
        <v>109.1</v>
      </c>
      <c r="AB22" s="2">
        <v>102.8</v>
      </c>
      <c r="AC22" s="2">
        <v>106.9</v>
      </c>
      <c r="AD22" s="2">
        <v>111</v>
      </c>
    </row>
    <row r="23" spans="1:30" x14ac:dyDescent="0.35">
      <c r="A23" s="2" t="s">
        <v>30</v>
      </c>
      <c r="B23" s="2">
        <v>2013</v>
      </c>
      <c r="C23" s="2" t="s">
        <v>46</v>
      </c>
      <c r="D23" s="2">
        <v>114.3</v>
      </c>
      <c r="E23" s="2">
        <v>115.4</v>
      </c>
      <c r="F23" s="2">
        <v>111.1</v>
      </c>
      <c r="G23" s="2">
        <v>110</v>
      </c>
      <c r="H23" s="2">
        <v>106.4</v>
      </c>
      <c r="I23" s="2">
        <v>110.8</v>
      </c>
      <c r="J23" s="2">
        <v>138.9</v>
      </c>
      <c r="K23" s="2">
        <v>107.4</v>
      </c>
      <c r="L23" s="2">
        <v>104.1</v>
      </c>
      <c r="M23" s="2">
        <v>106.9</v>
      </c>
      <c r="N23" s="2">
        <v>109.7</v>
      </c>
      <c r="O23" s="2">
        <v>112.6</v>
      </c>
      <c r="P23" s="2">
        <v>114.9</v>
      </c>
      <c r="Q23" s="2">
        <v>110.7</v>
      </c>
      <c r="R23" s="2">
        <v>111.3</v>
      </c>
      <c r="S23" s="2">
        <v>110.2</v>
      </c>
      <c r="T23" s="2">
        <v>111.1</v>
      </c>
      <c r="U23" s="2" t="s">
        <v>32</v>
      </c>
      <c r="V23" s="2">
        <v>109.9</v>
      </c>
      <c r="W23" s="2">
        <v>108.7</v>
      </c>
      <c r="X23" s="2">
        <v>107.5</v>
      </c>
      <c r="Y23" s="2">
        <v>107.8</v>
      </c>
      <c r="Z23" s="2">
        <v>106.8</v>
      </c>
      <c r="AA23" s="2">
        <v>108.7</v>
      </c>
      <c r="AB23" s="2">
        <v>105</v>
      </c>
      <c r="AC23" s="2">
        <v>107.5</v>
      </c>
      <c r="AD23" s="2">
        <v>112.1</v>
      </c>
    </row>
    <row r="24" spans="1:30" x14ac:dyDescent="0.35">
      <c r="A24" s="2" t="s">
        <v>33</v>
      </c>
      <c r="B24" s="2">
        <v>2013</v>
      </c>
      <c r="C24" s="2" t="s">
        <v>46</v>
      </c>
      <c r="D24" s="2">
        <v>118.3</v>
      </c>
      <c r="E24" s="2">
        <v>120.4</v>
      </c>
      <c r="F24" s="2">
        <v>112.7</v>
      </c>
      <c r="G24" s="2">
        <v>108.9</v>
      </c>
      <c r="H24" s="2">
        <v>101.1</v>
      </c>
      <c r="I24" s="2">
        <v>108.7</v>
      </c>
      <c r="J24" s="2">
        <v>177</v>
      </c>
      <c r="K24" s="2">
        <v>104.7</v>
      </c>
      <c r="L24" s="2">
        <v>101</v>
      </c>
      <c r="M24" s="2">
        <v>108.5</v>
      </c>
      <c r="N24" s="2">
        <v>110.9</v>
      </c>
      <c r="O24" s="2">
        <v>114.3</v>
      </c>
      <c r="P24" s="2">
        <v>119.6</v>
      </c>
      <c r="Q24" s="2">
        <v>112.4</v>
      </c>
      <c r="R24" s="2">
        <v>110.6</v>
      </c>
      <c r="S24" s="2">
        <v>108.3</v>
      </c>
      <c r="T24" s="2">
        <v>110.2</v>
      </c>
      <c r="U24" s="2" t="s">
        <v>47</v>
      </c>
      <c r="V24" s="2">
        <v>109.3</v>
      </c>
      <c r="W24" s="2">
        <v>108.7</v>
      </c>
      <c r="X24" s="2">
        <v>107.6</v>
      </c>
      <c r="Y24" s="2">
        <v>108.1</v>
      </c>
      <c r="Z24" s="2">
        <v>106.5</v>
      </c>
      <c r="AA24" s="2">
        <v>110.8</v>
      </c>
      <c r="AB24" s="2">
        <v>106</v>
      </c>
      <c r="AC24" s="2">
        <v>108.3</v>
      </c>
      <c r="AD24" s="2">
        <v>112.7</v>
      </c>
    </row>
    <row r="25" spans="1:30" x14ac:dyDescent="0.35">
      <c r="A25" s="2" t="s">
        <v>35</v>
      </c>
      <c r="B25" s="2">
        <v>2013</v>
      </c>
      <c r="C25" s="2" t="s">
        <v>46</v>
      </c>
      <c r="D25" s="2">
        <v>115.6</v>
      </c>
      <c r="E25" s="2">
        <v>117.2</v>
      </c>
      <c r="F25" s="2">
        <v>111.7</v>
      </c>
      <c r="G25" s="2">
        <v>109.6</v>
      </c>
      <c r="H25" s="2">
        <v>104.5</v>
      </c>
      <c r="I25" s="2">
        <v>109.8</v>
      </c>
      <c r="J25" s="2">
        <v>151.80000000000001</v>
      </c>
      <c r="K25" s="2">
        <v>106.5</v>
      </c>
      <c r="L25" s="2">
        <v>103.1</v>
      </c>
      <c r="M25" s="2">
        <v>107.4</v>
      </c>
      <c r="N25" s="2">
        <v>110.2</v>
      </c>
      <c r="O25" s="2">
        <v>113.4</v>
      </c>
      <c r="P25" s="2">
        <v>116.6</v>
      </c>
      <c r="Q25" s="2">
        <v>111.2</v>
      </c>
      <c r="R25" s="2">
        <v>111</v>
      </c>
      <c r="S25" s="2">
        <v>109.4</v>
      </c>
      <c r="T25" s="2">
        <v>110.7</v>
      </c>
      <c r="U25" s="2" t="s">
        <v>47</v>
      </c>
      <c r="V25" s="2">
        <v>109.7</v>
      </c>
      <c r="W25" s="2">
        <v>108.7</v>
      </c>
      <c r="X25" s="2">
        <v>107.5</v>
      </c>
      <c r="Y25" s="2">
        <v>108</v>
      </c>
      <c r="Z25" s="2">
        <v>106.6</v>
      </c>
      <c r="AA25" s="2">
        <v>109.9</v>
      </c>
      <c r="AB25" s="2">
        <v>105.4</v>
      </c>
      <c r="AC25" s="2">
        <v>107.9</v>
      </c>
      <c r="AD25" s="2">
        <v>112.4</v>
      </c>
    </row>
    <row r="26" spans="1:30" x14ac:dyDescent="0.35">
      <c r="A26" s="2" t="s">
        <v>30</v>
      </c>
      <c r="B26" s="2">
        <v>2013</v>
      </c>
      <c r="C26" s="2" t="s">
        <v>48</v>
      </c>
      <c r="D26" s="2">
        <v>115.4</v>
      </c>
      <c r="E26" s="2">
        <v>115.7</v>
      </c>
      <c r="F26" s="2">
        <v>111.7</v>
      </c>
      <c r="G26" s="2">
        <v>111</v>
      </c>
      <c r="H26" s="2">
        <v>107.4</v>
      </c>
      <c r="I26" s="2">
        <v>110.9</v>
      </c>
      <c r="J26" s="2">
        <v>154</v>
      </c>
      <c r="K26" s="2">
        <v>108.1</v>
      </c>
      <c r="L26" s="2">
        <v>104.2</v>
      </c>
      <c r="M26" s="2">
        <v>107.9</v>
      </c>
      <c r="N26" s="2">
        <v>110.4</v>
      </c>
      <c r="O26" s="2">
        <v>114</v>
      </c>
      <c r="P26" s="2">
        <v>117.8</v>
      </c>
      <c r="Q26" s="2">
        <v>111.7</v>
      </c>
      <c r="R26" s="2">
        <v>112.7</v>
      </c>
      <c r="S26" s="2">
        <v>111.4</v>
      </c>
      <c r="T26" s="2">
        <v>112.5</v>
      </c>
      <c r="U26" s="2" t="s">
        <v>32</v>
      </c>
      <c r="V26" s="2">
        <v>111.1</v>
      </c>
      <c r="W26" s="2">
        <v>109.6</v>
      </c>
      <c r="X26" s="2">
        <v>108.3</v>
      </c>
      <c r="Y26" s="2">
        <v>109.3</v>
      </c>
      <c r="Z26" s="2">
        <v>107.7</v>
      </c>
      <c r="AA26" s="2">
        <v>109.8</v>
      </c>
      <c r="AB26" s="2">
        <v>106.7</v>
      </c>
      <c r="AC26" s="2">
        <v>108.7</v>
      </c>
      <c r="AD26" s="2">
        <v>114.2</v>
      </c>
    </row>
    <row r="27" spans="1:30" x14ac:dyDescent="0.35">
      <c r="A27" s="2" t="s">
        <v>33</v>
      </c>
      <c r="B27" s="2">
        <v>2013</v>
      </c>
      <c r="C27" s="2" t="s">
        <v>48</v>
      </c>
      <c r="D27" s="2">
        <v>118.6</v>
      </c>
      <c r="E27" s="2">
        <v>119.1</v>
      </c>
      <c r="F27" s="2">
        <v>113.2</v>
      </c>
      <c r="G27" s="2">
        <v>109.6</v>
      </c>
      <c r="H27" s="2">
        <v>101.7</v>
      </c>
      <c r="I27" s="2">
        <v>103.2</v>
      </c>
      <c r="J27" s="2">
        <v>174.3</v>
      </c>
      <c r="K27" s="2">
        <v>105.1</v>
      </c>
      <c r="L27" s="2">
        <v>100.8</v>
      </c>
      <c r="M27" s="2">
        <v>109.1</v>
      </c>
      <c r="N27" s="2">
        <v>111.1</v>
      </c>
      <c r="O27" s="2">
        <v>115.4</v>
      </c>
      <c r="P27" s="2">
        <v>119.2</v>
      </c>
      <c r="Q27" s="2">
        <v>112.9</v>
      </c>
      <c r="R27" s="2">
        <v>111.4</v>
      </c>
      <c r="S27" s="2">
        <v>109</v>
      </c>
      <c r="T27" s="2">
        <v>111.1</v>
      </c>
      <c r="U27" s="2" t="s">
        <v>49</v>
      </c>
      <c r="V27" s="2">
        <v>109.5</v>
      </c>
      <c r="W27" s="2">
        <v>109.6</v>
      </c>
      <c r="X27" s="2">
        <v>107.9</v>
      </c>
      <c r="Y27" s="2">
        <v>110.4</v>
      </c>
      <c r="Z27" s="2">
        <v>107.4</v>
      </c>
      <c r="AA27" s="2">
        <v>111.2</v>
      </c>
      <c r="AB27" s="2">
        <v>106.9</v>
      </c>
      <c r="AC27" s="2">
        <v>109.4</v>
      </c>
      <c r="AD27" s="2">
        <v>113.2</v>
      </c>
    </row>
    <row r="28" spans="1:30" x14ac:dyDescent="0.35">
      <c r="A28" s="2" t="s">
        <v>35</v>
      </c>
      <c r="B28" s="2">
        <v>2013</v>
      </c>
      <c r="C28" s="2" t="s">
        <v>48</v>
      </c>
      <c r="D28" s="2">
        <v>116.4</v>
      </c>
      <c r="E28" s="2">
        <v>116.9</v>
      </c>
      <c r="F28" s="2">
        <v>112.3</v>
      </c>
      <c r="G28" s="2">
        <v>110.5</v>
      </c>
      <c r="H28" s="2">
        <v>105.3</v>
      </c>
      <c r="I28" s="2">
        <v>107.3</v>
      </c>
      <c r="J28" s="2">
        <v>160.9</v>
      </c>
      <c r="K28" s="2">
        <v>107.1</v>
      </c>
      <c r="L28" s="2">
        <v>103.1</v>
      </c>
      <c r="M28" s="2">
        <v>108.3</v>
      </c>
      <c r="N28" s="2">
        <v>110.7</v>
      </c>
      <c r="O28" s="2">
        <v>114.6</v>
      </c>
      <c r="P28" s="2">
        <v>118.3</v>
      </c>
      <c r="Q28" s="2">
        <v>112</v>
      </c>
      <c r="R28" s="2">
        <v>112.2</v>
      </c>
      <c r="S28" s="2">
        <v>110.4</v>
      </c>
      <c r="T28" s="2">
        <v>111.9</v>
      </c>
      <c r="U28" s="2" t="s">
        <v>49</v>
      </c>
      <c r="V28" s="2">
        <v>110.5</v>
      </c>
      <c r="W28" s="2">
        <v>109.6</v>
      </c>
      <c r="X28" s="2">
        <v>108.1</v>
      </c>
      <c r="Y28" s="2">
        <v>109.9</v>
      </c>
      <c r="Z28" s="2">
        <v>107.5</v>
      </c>
      <c r="AA28" s="2">
        <v>110.6</v>
      </c>
      <c r="AB28" s="2">
        <v>106.8</v>
      </c>
      <c r="AC28" s="2">
        <v>109</v>
      </c>
      <c r="AD28" s="2">
        <v>113.7</v>
      </c>
    </row>
    <row r="29" spans="1:30" x14ac:dyDescent="0.35">
      <c r="A29" s="2" t="s">
        <v>30</v>
      </c>
      <c r="B29" s="2">
        <v>2013</v>
      </c>
      <c r="C29" s="2" t="s">
        <v>50</v>
      </c>
      <c r="D29" s="2">
        <v>116.3</v>
      </c>
      <c r="E29" s="2">
        <v>115.4</v>
      </c>
      <c r="F29" s="2">
        <v>112.6</v>
      </c>
      <c r="G29" s="2">
        <v>111.7</v>
      </c>
      <c r="H29" s="2">
        <v>107.7</v>
      </c>
      <c r="I29" s="2">
        <v>113.2</v>
      </c>
      <c r="J29" s="2">
        <v>164.9</v>
      </c>
      <c r="K29" s="2">
        <v>108.3</v>
      </c>
      <c r="L29" s="2">
        <v>103.9</v>
      </c>
      <c r="M29" s="2">
        <v>108.2</v>
      </c>
      <c r="N29" s="2">
        <v>111.1</v>
      </c>
      <c r="O29" s="2">
        <v>114.9</v>
      </c>
      <c r="P29" s="2">
        <v>119.8</v>
      </c>
      <c r="Q29" s="2">
        <v>112.2</v>
      </c>
      <c r="R29" s="2">
        <v>113.6</v>
      </c>
      <c r="S29" s="2">
        <v>112.3</v>
      </c>
      <c r="T29" s="2">
        <v>113.4</v>
      </c>
      <c r="U29" s="2" t="s">
        <v>32</v>
      </c>
      <c r="V29" s="2">
        <v>111.6</v>
      </c>
      <c r="W29" s="2">
        <v>110.4</v>
      </c>
      <c r="X29" s="2">
        <v>108.9</v>
      </c>
      <c r="Y29" s="2">
        <v>109.3</v>
      </c>
      <c r="Z29" s="2">
        <v>108.3</v>
      </c>
      <c r="AA29" s="2">
        <v>110.2</v>
      </c>
      <c r="AB29" s="2">
        <v>107.5</v>
      </c>
      <c r="AC29" s="2">
        <v>109.1</v>
      </c>
      <c r="AD29" s="2">
        <v>115.5</v>
      </c>
    </row>
    <row r="30" spans="1:30" x14ac:dyDescent="0.35">
      <c r="A30" s="2" t="s">
        <v>33</v>
      </c>
      <c r="B30" s="2">
        <v>2013</v>
      </c>
      <c r="C30" s="2" t="s">
        <v>50</v>
      </c>
      <c r="D30" s="2">
        <v>118.9</v>
      </c>
      <c r="E30" s="2">
        <v>118.1</v>
      </c>
      <c r="F30" s="2">
        <v>114.5</v>
      </c>
      <c r="G30" s="2">
        <v>110.4</v>
      </c>
      <c r="H30" s="2">
        <v>102.3</v>
      </c>
      <c r="I30" s="2">
        <v>106.2</v>
      </c>
      <c r="J30" s="2">
        <v>183.5</v>
      </c>
      <c r="K30" s="2">
        <v>105.3</v>
      </c>
      <c r="L30" s="2">
        <v>100.2</v>
      </c>
      <c r="M30" s="2">
        <v>109.6</v>
      </c>
      <c r="N30" s="2">
        <v>111.4</v>
      </c>
      <c r="O30" s="2">
        <v>116</v>
      </c>
      <c r="P30" s="2">
        <v>120.8</v>
      </c>
      <c r="Q30" s="2">
        <v>113.5</v>
      </c>
      <c r="R30" s="2">
        <v>112.5</v>
      </c>
      <c r="S30" s="2">
        <v>109.7</v>
      </c>
      <c r="T30" s="2">
        <v>112</v>
      </c>
      <c r="U30" s="2" t="s">
        <v>51</v>
      </c>
      <c r="V30" s="2">
        <v>109.7</v>
      </c>
      <c r="W30" s="2">
        <v>110.2</v>
      </c>
      <c r="X30" s="2">
        <v>108.2</v>
      </c>
      <c r="Y30" s="2">
        <v>109.7</v>
      </c>
      <c r="Z30" s="2">
        <v>108</v>
      </c>
      <c r="AA30" s="2">
        <v>111.3</v>
      </c>
      <c r="AB30" s="2">
        <v>107.3</v>
      </c>
      <c r="AC30" s="2">
        <v>109.4</v>
      </c>
      <c r="AD30" s="2">
        <v>114</v>
      </c>
    </row>
    <row r="31" spans="1:30" x14ac:dyDescent="0.35">
      <c r="A31" s="2" t="s">
        <v>35</v>
      </c>
      <c r="B31" s="2">
        <v>2013</v>
      </c>
      <c r="C31" s="2" t="s">
        <v>50</v>
      </c>
      <c r="D31" s="2">
        <v>117.1</v>
      </c>
      <c r="E31" s="2">
        <v>116.3</v>
      </c>
      <c r="F31" s="2">
        <v>113.3</v>
      </c>
      <c r="G31" s="2">
        <v>111.2</v>
      </c>
      <c r="H31" s="2">
        <v>105.7</v>
      </c>
      <c r="I31" s="2">
        <v>109.9</v>
      </c>
      <c r="J31" s="2">
        <v>171.2</v>
      </c>
      <c r="K31" s="2">
        <v>107.3</v>
      </c>
      <c r="L31" s="2">
        <v>102.7</v>
      </c>
      <c r="M31" s="2">
        <v>108.7</v>
      </c>
      <c r="N31" s="2">
        <v>111.2</v>
      </c>
      <c r="O31" s="2">
        <v>115.4</v>
      </c>
      <c r="P31" s="2">
        <v>120.2</v>
      </c>
      <c r="Q31" s="2">
        <v>112.5</v>
      </c>
      <c r="R31" s="2">
        <v>113.2</v>
      </c>
      <c r="S31" s="2">
        <v>111.2</v>
      </c>
      <c r="T31" s="2">
        <v>112.8</v>
      </c>
      <c r="U31" s="2" t="s">
        <v>51</v>
      </c>
      <c r="V31" s="2">
        <v>110.9</v>
      </c>
      <c r="W31" s="2">
        <v>110.3</v>
      </c>
      <c r="X31" s="2">
        <v>108.6</v>
      </c>
      <c r="Y31" s="2">
        <v>109.5</v>
      </c>
      <c r="Z31" s="2">
        <v>108.1</v>
      </c>
      <c r="AA31" s="2">
        <v>110.8</v>
      </c>
      <c r="AB31" s="2">
        <v>107.4</v>
      </c>
      <c r="AC31" s="2">
        <v>109.2</v>
      </c>
      <c r="AD31" s="2">
        <v>114.8</v>
      </c>
    </row>
    <row r="32" spans="1:30" x14ac:dyDescent="0.35">
      <c r="A32" s="2" t="s">
        <v>30</v>
      </c>
      <c r="B32" s="2">
        <v>2013</v>
      </c>
      <c r="C32" s="2" t="s">
        <v>52</v>
      </c>
      <c r="D32" s="2">
        <v>117.3</v>
      </c>
      <c r="E32" s="2">
        <v>114.9</v>
      </c>
      <c r="F32" s="2">
        <v>116.2</v>
      </c>
      <c r="G32" s="2">
        <v>112.8</v>
      </c>
      <c r="H32" s="2">
        <v>108.9</v>
      </c>
      <c r="I32" s="2">
        <v>116.6</v>
      </c>
      <c r="J32" s="2">
        <v>178.1</v>
      </c>
      <c r="K32" s="2">
        <v>109.1</v>
      </c>
      <c r="L32" s="2">
        <v>103.6</v>
      </c>
      <c r="M32" s="2">
        <v>109</v>
      </c>
      <c r="N32" s="2">
        <v>111.8</v>
      </c>
      <c r="O32" s="2">
        <v>116</v>
      </c>
      <c r="P32" s="2">
        <v>122.5</v>
      </c>
      <c r="Q32" s="2">
        <v>112.8</v>
      </c>
      <c r="R32" s="2">
        <v>114.6</v>
      </c>
      <c r="S32" s="2">
        <v>113.1</v>
      </c>
      <c r="T32" s="2">
        <v>114.4</v>
      </c>
      <c r="U32" s="2" t="s">
        <v>32</v>
      </c>
      <c r="V32" s="2">
        <v>112.6</v>
      </c>
      <c r="W32" s="2">
        <v>111.3</v>
      </c>
      <c r="X32" s="2">
        <v>109.7</v>
      </c>
      <c r="Y32" s="2">
        <v>109.6</v>
      </c>
      <c r="Z32" s="2">
        <v>108.7</v>
      </c>
      <c r="AA32" s="2">
        <v>111</v>
      </c>
      <c r="AB32" s="2">
        <v>108.2</v>
      </c>
      <c r="AC32" s="2">
        <v>109.8</v>
      </c>
      <c r="AD32" s="2">
        <v>117.4</v>
      </c>
    </row>
    <row r="33" spans="1:30" x14ac:dyDescent="0.35">
      <c r="A33" s="2" t="s">
        <v>33</v>
      </c>
      <c r="B33" s="2">
        <v>2013</v>
      </c>
      <c r="C33" s="2" t="s">
        <v>53</v>
      </c>
      <c r="D33" s="2">
        <v>119.8</v>
      </c>
      <c r="E33" s="2">
        <v>116.3</v>
      </c>
      <c r="F33" s="2">
        <v>122.6</v>
      </c>
      <c r="G33" s="2">
        <v>112</v>
      </c>
      <c r="H33" s="2">
        <v>103.2</v>
      </c>
      <c r="I33" s="2">
        <v>110</v>
      </c>
      <c r="J33" s="2">
        <v>192.8</v>
      </c>
      <c r="K33" s="2">
        <v>106.3</v>
      </c>
      <c r="L33" s="2">
        <v>99.5</v>
      </c>
      <c r="M33" s="2">
        <v>110.3</v>
      </c>
      <c r="N33" s="2">
        <v>111.8</v>
      </c>
      <c r="O33" s="2">
        <v>117.1</v>
      </c>
      <c r="P33" s="2">
        <v>122.9</v>
      </c>
      <c r="Q33" s="2">
        <v>114.1</v>
      </c>
      <c r="R33" s="2">
        <v>113.5</v>
      </c>
      <c r="S33" s="2">
        <v>110.3</v>
      </c>
      <c r="T33" s="2">
        <v>113</v>
      </c>
      <c r="U33" s="2" t="s">
        <v>54</v>
      </c>
      <c r="V33" s="2">
        <v>110</v>
      </c>
      <c r="W33" s="2">
        <v>110.9</v>
      </c>
      <c r="X33" s="2">
        <v>108.6</v>
      </c>
      <c r="Y33" s="2">
        <v>109.5</v>
      </c>
      <c r="Z33" s="2">
        <v>108.5</v>
      </c>
      <c r="AA33" s="2">
        <v>111.3</v>
      </c>
      <c r="AB33" s="2">
        <v>107.9</v>
      </c>
      <c r="AC33" s="2">
        <v>109.6</v>
      </c>
      <c r="AD33" s="2">
        <v>115</v>
      </c>
    </row>
    <row r="34" spans="1:30" x14ac:dyDescent="0.35">
      <c r="A34" s="2" t="s">
        <v>35</v>
      </c>
      <c r="B34" s="2">
        <v>2013</v>
      </c>
      <c r="C34" s="2" t="s">
        <v>53</v>
      </c>
      <c r="D34" s="2">
        <v>118.1</v>
      </c>
      <c r="E34" s="2">
        <v>115.4</v>
      </c>
      <c r="F34" s="2">
        <v>118.7</v>
      </c>
      <c r="G34" s="2">
        <v>112.5</v>
      </c>
      <c r="H34" s="2">
        <v>106.8</v>
      </c>
      <c r="I34" s="2">
        <v>113.5</v>
      </c>
      <c r="J34" s="2">
        <v>183.1</v>
      </c>
      <c r="K34" s="2">
        <v>108.2</v>
      </c>
      <c r="L34" s="2">
        <v>102.2</v>
      </c>
      <c r="M34" s="2">
        <v>109.4</v>
      </c>
      <c r="N34" s="2">
        <v>111.8</v>
      </c>
      <c r="O34" s="2">
        <v>116.5</v>
      </c>
      <c r="P34" s="2">
        <v>122.6</v>
      </c>
      <c r="Q34" s="2">
        <v>113.1</v>
      </c>
      <c r="R34" s="2">
        <v>114.2</v>
      </c>
      <c r="S34" s="2">
        <v>111.9</v>
      </c>
      <c r="T34" s="2">
        <v>113.8</v>
      </c>
      <c r="U34" s="2" t="s">
        <v>54</v>
      </c>
      <c r="V34" s="2">
        <v>111.6</v>
      </c>
      <c r="W34" s="2">
        <v>111.1</v>
      </c>
      <c r="X34" s="2">
        <v>109.3</v>
      </c>
      <c r="Y34" s="2">
        <v>109.5</v>
      </c>
      <c r="Z34" s="2">
        <v>108.6</v>
      </c>
      <c r="AA34" s="2">
        <v>111.2</v>
      </c>
      <c r="AB34" s="2">
        <v>108.1</v>
      </c>
      <c r="AC34" s="2">
        <v>109.7</v>
      </c>
      <c r="AD34" s="2">
        <v>116.3</v>
      </c>
    </row>
    <row r="35" spans="1:30" x14ac:dyDescent="0.35">
      <c r="A35" s="2" t="s">
        <v>30</v>
      </c>
      <c r="B35" s="2">
        <v>2013</v>
      </c>
      <c r="C35" s="2" t="s">
        <v>55</v>
      </c>
      <c r="D35" s="2">
        <v>118.4</v>
      </c>
      <c r="E35" s="2">
        <v>115.9</v>
      </c>
      <c r="F35" s="2">
        <v>120.4</v>
      </c>
      <c r="G35" s="2">
        <v>113.8</v>
      </c>
      <c r="H35" s="2">
        <v>109.5</v>
      </c>
      <c r="I35" s="2">
        <v>115.5</v>
      </c>
      <c r="J35" s="2">
        <v>145.69999999999999</v>
      </c>
      <c r="K35" s="2">
        <v>109.5</v>
      </c>
      <c r="L35" s="2">
        <v>102.9</v>
      </c>
      <c r="M35" s="2">
        <v>109.8</v>
      </c>
      <c r="N35" s="2">
        <v>112.1</v>
      </c>
      <c r="O35" s="2">
        <v>116.8</v>
      </c>
      <c r="P35" s="2">
        <v>118.7</v>
      </c>
      <c r="Q35" s="2">
        <v>113.6</v>
      </c>
      <c r="R35" s="2">
        <v>115.8</v>
      </c>
      <c r="S35" s="2">
        <v>114</v>
      </c>
      <c r="T35" s="2">
        <v>115.5</v>
      </c>
      <c r="U35" s="2" t="s">
        <v>32</v>
      </c>
      <c r="V35" s="2">
        <v>112.8</v>
      </c>
      <c r="W35" s="2">
        <v>112.1</v>
      </c>
      <c r="X35" s="2">
        <v>110.1</v>
      </c>
      <c r="Y35" s="2">
        <v>109.9</v>
      </c>
      <c r="Z35" s="2">
        <v>109.2</v>
      </c>
      <c r="AA35" s="2">
        <v>111.6</v>
      </c>
      <c r="AB35" s="2">
        <v>108.1</v>
      </c>
      <c r="AC35" s="2">
        <v>110.1</v>
      </c>
      <c r="AD35" s="2">
        <v>115.5</v>
      </c>
    </row>
    <row r="36" spans="1:30" x14ac:dyDescent="0.35">
      <c r="A36" s="2" t="s">
        <v>33</v>
      </c>
      <c r="B36" s="2">
        <v>2013</v>
      </c>
      <c r="C36" s="2" t="s">
        <v>55</v>
      </c>
      <c r="D36" s="2">
        <v>120.5</v>
      </c>
      <c r="E36" s="2">
        <v>118.1</v>
      </c>
      <c r="F36" s="2">
        <v>128.5</v>
      </c>
      <c r="G36" s="2">
        <v>112.8</v>
      </c>
      <c r="H36" s="2">
        <v>103.4</v>
      </c>
      <c r="I36" s="2">
        <v>110.7</v>
      </c>
      <c r="J36" s="2">
        <v>144.80000000000001</v>
      </c>
      <c r="K36" s="2">
        <v>107.1</v>
      </c>
      <c r="L36" s="2">
        <v>98.6</v>
      </c>
      <c r="M36" s="2">
        <v>111.9</v>
      </c>
      <c r="N36" s="2">
        <v>112.1</v>
      </c>
      <c r="O36" s="2">
        <v>118.1</v>
      </c>
      <c r="P36" s="2">
        <v>117.8</v>
      </c>
      <c r="Q36" s="2">
        <v>115</v>
      </c>
      <c r="R36" s="2">
        <v>114.2</v>
      </c>
      <c r="S36" s="2">
        <v>110.9</v>
      </c>
      <c r="T36" s="2">
        <v>113.7</v>
      </c>
      <c r="U36" s="2" t="s">
        <v>56</v>
      </c>
      <c r="V36" s="2">
        <v>110.4</v>
      </c>
      <c r="W36" s="2">
        <v>111.3</v>
      </c>
      <c r="X36" s="2">
        <v>109</v>
      </c>
      <c r="Y36" s="2">
        <v>109.7</v>
      </c>
      <c r="Z36" s="2">
        <v>108.9</v>
      </c>
      <c r="AA36" s="2">
        <v>111.4</v>
      </c>
      <c r="AB36" s="2">
        <v>107.7</v>
      </c>
      <c r="AC36" s="2">
        <v>109.8</v>
      </c>
      <c r="AD36" s="2">
        <v>113.3</v>
      </c>
    </row>
    <row r="37" spans="1:30" x14ac:dyDescent="0.35">
      <c r="A37" s="2" t="s">
        <v>35</v>
      </c>
      <c r="B37" s="2">
        <v>2013</v>
      </c>
      <c r="C37" s="2" t="s">
        <v>55</v>
      </c>
      <c r="D37" s="2">
        <v>119.1</v>
      </c>
      <c r="E37" s="2">
        <v>116.7</v>
      </c>
      <c r="F37" s="2">
        <v>123.5</v>
      </c>
      <c r="G37" s="2">
        <v>113.4</v>
      </c>
      <c r="H37" s="2">
        <v>107.3</v>
      </c>
      <c r="I37" s="2">
        <v>113.3</v>
      </c>
      <c r="J37" s="2">
        <v>145.4</v>
      </c>
      <c r="K37" s="2">
        <v>108.7</v>
      </c>
      <c r="L37" s="2">
        <v>101.5</v>
      </c>
      <c r="M37" s="2">
        <v>110.5</v>
      </c>
      <c r="N37" s="2">
        <v>112.1</v>
      </c>
      <c r="O37" s="2">
        <v>117.4</v>
      </c>
      <c r="P37" s="2">
        <v>118.4</v>
      </c>
      <c r="Q37" s="2">
        <v>114</v>
      </c>
      <c r="R37" s="2">
        <v>115.2</v>
      </c>
      <c r="S37" s="2">
        <v>112.7</v>
      </c>
      <c r="T37" s="2">
        <v>114.8</v>
      </c>
      <c r="U37" s="2" t="s">
        <v>56</v>
      </c>
      <c r="V37" s="2">
        <v>111.9</v>
      </c>
      <c r="W37" s="2">
        <v>111.7</v>
      </c>
      <c r="X37" s="2">
        <v>109.7</v>
      </c>
      <c r="Y37" s="2">
        <v>109.8</v>
      </c>
      <c r="Z37" s="2">
        <v>109</v>
      </c>
      <c r="AA37" s="2">
        <v>111.5</v>
      </c>
      <c r="AB37" s="2">
        <v>107.9</v>
      </c>
      <c r="AC37" s="2">
        <v>110</v>
      </c>
      <c r="AD37" s="2">
        <v>114.5</v>
      </c>
    </row>
    <row r="38" spans="1:30" x14ac:dyDescent="0.35">
      <c r="A38" s="2" t="s">
        <v>30</v>
      </c>
      <c r="B38" s="2">
        <v>2014</v>
      </c>
      <c r="C38" s="2" t="s">
        <v>31</v>
      </c>
      <c r="D38" s="2">
        <v>118.9</v>
      </c>
      <c r="E38" s="2">
        <v>117.1</v>
      </c>
      <c r="F38" s="2">
        <v>120.5</v>
      </c>
      <c r="G38" s="2">
        <v>114.4</v>
      </c>
      <c r="H38" s="2">
        <v>109</v>
      </c>
      <c r="I38" s="2">
        <v>115.5</v>
      </c>
      <c r="J38" s="2">
        <v>123.9</v>
      </c>
      <c r="K38" s="2">
        <v>109.6</v>
      </c>
      <c r="L38" s="2">
        <v>101.8</v>
      </c>
      <c r="M38" s="2">
        <v>110.2</v>
      </c>
      <c r="N38" s="2">
        <v>112.4</v>
      </c>
      <c r="O38" s="2">
        <v>117.3</v>
      </c>
      <c r="P38" s="2">
        <v>116</v>
      </c>
      <c r="Q38" s="2">
        <v>114</v>
      </c>
      <c r="R38" s="2">
        <v>116.5</v>
      </c>
      <c r="S38" s="2">
        <v>114.5</v>
      </c>
      <c r="T38" s="2">
        <v>116.2</v>
      </c>
      <c r="U38" s="2" t="s">
        <v>32</v>
      </c>
      <c r="V38" s="2">
        <v>113</v>
      </c>
      <c r="W38" s="2">
        <v>112.6</v>
      </c>
      <c r="X38" s="2">
        <v>110.6</v>
      </c>
      <c r="Y38" s="2">
        <v>110.5</v>
      </c>
      <c r="Z38" s="2">
        <v>109.6</v>
      </c>
      <c r="AA38" s="2">
        <v>111.8</v>
      </c>
      <c r="AB38" s="2">
        <v>108.3</v>
      </c>
      <c r="AC38" s="2">
        <v>110.6</v>
      </c>
      <c r="AD38" s="2">
        <v>114.2</v>
      </c>
    </row>
    <row r="39" spans="1:30" x14ac:dyDescent="0.35">
      <c r="A39" s="2" t="s">
        <v>33</v>
      </c>
      <c r="B39" s="2">
        <v>2014</v>
      </c>
      <c r="C39" s="2" t="s">
        <v>31</v>
      </c>
      <c r="D39" s="2">
        <v>121.2</v>
      </c>
      <c r="E39" s="2">
        <v>122</v>
      </c>
      <c r="F39" s="2">
        <v>129.9</v>
      </c>
      <c r="G39" s="2">
        <v>113.6</v>
      </c>
      <c r="H39" s="2">
        <v>102.9</v>
      </c>
      <c r="I39" s="2">
        <v>112.1</v>
      </c>
      <c r="J39" s="2">
        <v>118.9</v>
      </c>
      <c r="K39" s="2">
        <v>107.5</v>
      </c>
      <c r="L39" s="2">
        <v>96.9</v>
      </c>
      <c r="M39" s="2">
        <v>112.7</v>
      </c>
      <c r="N39" s="2">
        <v>112.1</v>
      </c>
      <c r="O39" s="2">
        <v>119</v>
      </c>
      <c r="P39" s="2">
        <v>115.5</v>
      </c>
      <c r="Q39" s="2">
        <v>115.7</v>
      </c>
      <c r="R39" s="2">
        <v>114.8</v>
      </c>
      <c r="S39" s="2">
        <v>111.3</v>
      </c>
      <c r="T39" s="2">
        <v>114.3</v>
      </c>
      <c r="U39" s="2" t="s">
        <v>57</v>
      </c>
      <c r="V39" s="2">
        <v>111</v>
      </c>
      <c r="W39" s="2">
        <v>111.9</v>
      </c>
      <c r="X39" s="2">
        <v>109.7</v>
      </c>
      <c r="Y39" s="2">
        <v>110.8</v>
      </c>
      <c r="Z39" s="2">
        <v>109.8</v>
      </c>
      <c r="AA39" s="2">
        <v>111.5</v>
      </c>
      <c r="AB39" s="2">
        <v>108</v>
      </c>
      <c r="AC39" s="2">
        <v>110.5</v>
      </c>
      <c r="AD39" s="2">
        <v>112.9</v>
      </c>
    </row>
    <row r="40" spans="1:30" x14ac:dyDescent="0.35">
      <c r="A40" s="2" t="s">
        <v>35</v>
      </c>
      <c r="B40" s="2">
        <v>2014</v>
      </c>
      <c r="C40" s="2" t="s">
        <v>31</v>
      </c>
      <c r="D40" s="2">
        <v>119.6</v>
      </c>
      <c r="E40" s="2">
        <v>118.8</v>
      </c>
      <c r="F40" s="2">
        <v>124.1</v>
      </c>
      <c r="G40" s="2">
        <v>114.1</v>
      </c>
      <c r="H40" s="2">
        <v>106.8</v>
      </c>
      <c r="I40" s="2">
        <v>113.9</v>
      </c>
      <c r="J40" s="2">
        <v>122.2</v>
      </c>
      <c r="K40" s="2">
        <v>108.9</v>
      </c>
      <c r="L40" s="2">
        <v>100.2</v>
      </c>
      <c r="M40" s="2">
        <v>111</v>
      </c>
      <c r="N40" s="2">
        <v>112.3</v>
      </c>
      <c r="O40" s="2">
        <v>118.1</v>
      </c>
      <c r="P40" s="2">
        <v>115.8</v>
      </c>
      <c r="Q40" s="2">
        <v>114.5</v>
      </c>
      <c r="R40" s="2">
        <v>115.8</v>
      </c>
      <c r="S40" s="2">
        <v>113.2</v>
      </c>
      <c r="T40" s="2">
        <v>115.4</v>
      </c>
      <c r="U40" s="2" t="s">
        <v>57</v>
      </c>
      <c r="V40" s="2">
        <v>112.2</v>
      </c>
      <c r="W40" s="2">
        <v>112.3</v>
      </c>
      <c r="X40" s="2">
        <v>110.3</v>
      </c>
      <c r="Y40" s="2">
        <v>110.7</v>
      </c>
      <c r="Z40" s="2">
        <v>109.7</v>
      </c>
      <c r="AA40" s="2">
        <v>111.6</v>
      </c>
      <c r="AB40" s="2">
        <v>108.2</v>
      </c>
      <c r="AC40" s="2">
        <v>110.6</v>
      </c>
      <c r="AD40" s="2">
        <v>113.6</v>
      </c>
    </row>
    <row r="41" spans="1:30" x14ac:dyDescent="0.35">
      <c r="A41" s="2" t="s">
        <v>30</v>
      </c>
      <c r="B41" s="2">
        <v>2014</v>
      </c>
      <c r="C41" s="2" t="s">
        <v>36</v>
      </c>
      <c r="D41" s="2">
        <v>119.4</v>
      </c>
      <c r="E41" s="2">
        <v>117.7</v>
      </c>
      <c r="F41" s="2">
        <v>121.2</v>
      </c>
      <c r="G41" s="2">
        <v>115</v>
      </c>
      <c r="H41" s="2">
        <v>109</v>
      </c>
      <c r="I41" s="2">
        <v>116.6</v>
      </c>
      <c r="J41" s="2">
        <v>116</v>
      </c>
      <c r="K41" s="2">
        <v>109.8</v>
      </c>
      <c r="L41" s="2">
        <v>101.1</v>
      </c>
      <c r="M41" s="2">
        <v>110.4</v>
      </c>
      <c r="N41" s="2">
        <v>112.9</v>
      </c>
      <c r="O41" s="2">
        <v>117.8</v>
      </c>
      <c r="P41" s="2">
        <v>115.3</v>
      </c>
      <c r="Q41" s="2">
        <v>114.2</v>
      </c>
      <c r="R41" s="2">
        <v>117.1</v>
      </c>
      <c r="S41" s="2">
        <v>114.5</v>
      </c>
      <c r="T41" s="2">
        <v>116.7</v>
      </c>
      <c r="U41" s="2" t="s">
        <v>32</v>
      </c>
      <c r="V41" s="2">
        <v>113.2</v>
      </c>
      <c r="W41" s="2">
        <v>112.9</v>
      </c>
      <c r="X41" s="2">
        <v>110.9</v>
      </c>
      <c r="Y41" s="2">
        <v>110.8</v>
      </c>
      <c r="Z41" s="2">
        <v>109.9</v>
      </c>
      <c r="AA41" s="2">
        <v>112</v>
      </c>
      <c r="AB41" s="2">
        <v>108.7</v>
      </c>
      <c r="AC41" s="2">
        <v>110.9</v>
      </c>
      <c r="AD41" s="2">
        <v>114</v>
      </c>
    </row>
    <row r="42" spans="1:30" x14ac:dyDescent="0.35">
      <c r="A42" s="2" t="s">
        <v>33</v>
      </c>
      <c r="B42" s="2">
        <v>2014</v>
      </c>
      <c r="C42" s="2" t="s">
        <v>36</v>
      </c>
      <c r="D42" s="2">
        <v>121.9</v>
      </c>
      <c r="E42" s="2">
        <v>122</v>
      </c>
      <c r="F42" s="2">
        <v>124.5</v>
      </c>
      <c r="G42" s="2">
        <v>115.2</v>
      </c>
      <c r="H42" s="2">
        <v>102.5</v>
      </c>
      <c r="I42" s="2">
        <v>114.1</v>
      </c>
      <c r="J42" s="2">
        <v>111.5</v>
      </c>
      <c r="K42" s="2">
        <v>108.2</v>
      </c>
      <c r="L42" s="2">
        <v>95.4</v>
      </c>
      <c r="M42" s="2">
        <v>113.5</v>
      </c>
      <c r="N42" s="2">
        <v>112.1</v>
      </c>
      <c r="O42" s="2">
        <v>119.9</v>
      </c>
      <c r="P42" s="2">
        <v>115.2</v>
      </c>
      <c r="Q42" s="2">
        <v>116.2</v>
      </c>
      <c r="R42" s="2">
        <v>115.3</v>
      </c>
      <c r="S42" s="2">
        <v>111.7</v>
      </c>
      <c r="T42" s="2">
        <v>114.7</v>
      </c>
      <c r="U42" s="2" t="s">
        <v>58</v>
      </c>
      <c r="V42" s="2">
        <v>111.1</v>
      </c>
      <c r="W42" s="2">
        <v>112.6</v>
      </c>
      <c r="X42" s="2">
        <v>110.4</v>
      </c>
      <c r="Y42" s="2">
        <v>111.3</v>
      </c>
      <c r="Z42" s="2">
        <v>110.3</v>
      </c>
      <c r="AA42" s="2">
        <v>111.6</v>
      </c>
      <c r="AB42" s="2">
        <v>108.7</v>
      </c>
      <c r="AC42" s="2">
        <v>111</v>
      </c>
      <c r="AD42" s="2">
        <v>113.1</v>
      </c>
    </row>
    <row r="43" spans="1:30" x14ac:dyDescent="0.35">
      <c r="A43" s="2" t="s">
        <v>35</v>
      </c>
      <c r="B43" s="2">
        <v>2014</v>
      </c>
      <c r="C43" s="2" t="s">
        <v>36</v>
      </c>
      <c r="D43" s="2">
        <v>120.2</v>
      </c>
      <c r="E43" s="2">
        <v>119.2</v>
      </c>
      <c r="F43" s="2">
        <v>122.5</v>
      </c>
      <c r="G43" s="2">
        <v>115.1</v>
      </c>
      <c r="H43" s="2">
        <v>106.6</v>
      </c>
      <c r="I43" s="2">
        <v>115.4</v>
      </c>
      <c r="J43" s="2">
        <v>114.5</v>
      </c>
      <c r="K43" s="2">
        <v>109.3</v>
      </c>
      <c r="L43" s="2">
        <v>99.2</v>
      </c>
      <c r="M43" s="2">
        <v>111.4</v>
      </c>
      <c r="N43" s="2">
        <v>112.6</v>
      </c>
      <c r="O43" s="2">
        <v>118.8</v>
      </c>
      <c r="P43" s="2">
        <v>115.3</v>
      </c>
      <c r="Q43" s="2">
        <v>114.7</v>
      </c>
      <c r="R43" s="2">
        <v>116.4</v>
      </c>
      <c r="S43" s="2">
        <v>113.3</v>
      </c>
      <c r="T43" s="2">
        <v>115.9</v>
      </c>
      <c r="U43" s="2" t="s">
        <v>58</v>
      </c>
      <c r="V43" s="2">
        <v>112.4</v>
      </c>
      <c r="W43" s="2">
        <v>112.8</v>
      </c>
      <c r="X43" s="2">
        <v>110.7</v>
      </c>
      <c r="Y43" s="2">
        <v>111.1</v>
      </c>
      <c r="Z43" s="2">
        <v>110.1</v>
      </c>
      <c r="AA43" s="2">
        <v>111.8</v>
      </c>
      <c r="AB43" s="2">
        <v>108.7</v>
      </c>
      <c r="AC43" s="2">
        <v>110.9</v>
      </c>
      <c r="AD43" s="2">
        <v>113.6</v>
      </c>
    </row>
    <row r="44" spans="1:30" x14ac:dyDescent="0.35">
      <c r="A44" s="2" t="s">
        <v>30</v>
      </c>
      <c r="B44" s="2">
        <v>2014</v>
      </c>
      <c r="C44" s="2" t="s">
        <v>38</v>
      </c>
      <c r="D44" s="2">
        <v>120.1</v>
      </c>
      <c r="E44" s="2">
        <v>118.1</v>
      </c>
      <c r="F44" s="2">
        <v>120.7</v>
      </c>
      <c r="G44" s="2">
        <v>116.1</v>
      </c>
      <c r="H44" s="2">
        <v>109.3</v>
      </c>
      <c r="I44" s="2">
        <v>119.6</v>
      </c>
      <c r="J44" s="2">
        <v>117.9</v>
      </c>
      <c r="K44" s="2">
        <v>110.2</v>
      </c>
      <c r="L44" s="2">
        <v>101.2</v>
      </c>
      <c r="M44" s="2">
        <v>110.7</v>
      </c>
      <c r="N44" s="2">
        <v>113</v>
      </c>
      <c r="O44" s="2">
        <v>118.3</v>
      </c>
      <c r="P44" s="2">
        <v>116.2</v>
      </c>
      <c r="Q44" s="2">
        <v>114.6</v>
      </c>
      <c r="R44" s="2">
        <v>117.5</v>
      </c>
      <c r="S44" s="2">
        <v>114.9</v>
      </c>
      <c r="T44" s="2">
        <v>117.2</v>
      </c>
      <c r="U44" s="2" t="s">
        <v>32</v>
      </c>
      <c r="V44" s="2">
        <v>113.4</v>
      </c>
      <c r="W44" s="2">
        <v>113.4</v>
      </c>
      <c r="X44" s="2">
        <v>111.4</v>
      </c>
      <c r="Y44" s="2">
        <v>111.2</v>
      </c>
      <c r="Z44" s="2">
        <v>110.2</v>
      </c>
      <c r="AA44" s="2">
        <v>112.4</v>
      </c>
      <c r="AB44" s="2">
        <v>108.9</v>
      </c>
      <c r="AC44" s="2">
        <v>111.3</v>
      </c>
      <c r="AD44" s="2">
        <v>114.6</v>
      </c>
    </row>
    <row r="45" spans="1:30" x14ac:dyDescent="0.35">
      <c r="A45" s="2" t="s">
        <v>33</v>
      </c>
      <c r="B45" s="2">
        <v>2014</v>
      </c>
      <c r="C45" s="2" t="s">
        <v>38</v>
      </c>
      <c r="D45" s="2">
        <v>122.1</v>
      </c>
      <c r="E45" s="2">
        <v>121.4</v>
      </c>
      <c r="F45" s="2">
        <v>121.5</v>
      </c>
      <c r="G45" s="2">
        <v>116.2</v>
      </c>
      <c r="H45" s="2">
        <v>102.8</v>
      </c>
      <c r="I45" s="2">
        <v>117.7</v>
      </c>
      <c r="J45" s="2">
        <v>113.3</v>
      </c>
      <c r="K45" s="2">
        <v>108.9</v>
      </c>
      <c r="L45" s="2">
        <v>96.3</v>
      </c>
      <c r="M45" s="2">
        <v>114.1</v>
      </c>
      <c r="N45" s="2">
        <v>112.2</v>
      </c>
      <c r="O45" s="2">
        <v>120.5</v>
      </c>
      <c r="P45" s="2">
        <v>116</v>
      </c>
      <c r="Q45" s="2">
        <v>116.7</v>
      </c>
      <c r="R45" s="2">
        <v>115.8</v>
      </c>
      <c r="S45" s="2">
        <v>112.1</v>
      </c>
      <c r="T45" s="2">
        <v>115.2</v>
      </c>
      <c r="U45" s="2" t="s">
        <v>59</v>
      </c>
      <c r="V45" s="2">
        <v>110.9</v>
      </c>
      <c r="W45" s="2">
        <v>113</v>
      </c>
      <c r="X45" s="2">
        <v>110.8</v>
      </c>
      <c r="Y45" s="2">
        <v>111.6</v>
      </c>
      <c r="Z45" s="2">
        <v>110.9</v>
      </c>
      <c r="AA45" s="2">
        <v>111.8</v>
      </c>
      <c r="AB45" s="2">
        <v>109.2</v>
      </c>
      <c r="AC45" s="2">
        <v>111.4</v>
      </c>
      <c r="AD45" s="2">
        <v>113.7</v>
      </c>
    </row>
    <row r="46" spans="1:30" x14ac:dyDescent="0.35">
      <c r="A46" s="2" t="s">
        <v>35</v>
      </c>
      <c r="B46" s="2">
        <v>2014</v>
      </c>
      <c r="C46" s="2" t="s">
        <v>60</v>
      </c>
      <c r="D46" s="2">
        <v>120.7</v>
      </c>
      <c r="E46" s="2">
        <v>119.3</v>
      </c>
      <c r="F46" s="2">
        <v>121</v>
      </c>
      <c r="G46" s="2">
        <v>116.1</v>
      </c>
      <c r="H46" s="2">
        <v>106.9</v>
      </c>
      <c r="I46" s="2">
        <v>118.7</v>
      </c>
      <c r="J46" s="2">
        <v>116.3</v>
      </c>
      <c r="K46" s="2">
        <v>109.8</v>
      </c>
      <c r="L46" s="2">
        <v>99.6</v>
      </c>
      <c r="M46" s="2">
        <v>111.8</v>
      </c>
      <c r="N46" s="2">
        <v>112.7</v>
      </c>
      <c r="O46" s="2">
        <v>119.3</v>
      </c>
      <c r="P46" s="2">
        <v>116.1</v>
      </c>
      <c r="Q46" s="2">
        <v>115.2</v>
      </c>
      <c r="R46" s="2">
        <v>116.8</v>
      </c>
      <c r="S46" s="2">
        <v>113.7</v>
      </c>
      <c r="T46" s="2">
        <v>116.4</v>
      </c>
      <c r="U46" s="2" t="s">
        <v>59</v>
      </c>
      <c r="V46" s="2">
        <v>112.5</v>
      </c>
      <c r="W46" s="2">
        <v>113.2</v>
      </c>
      <c r="X46" s="2">
        <v>111.2</v>
      </c>
      <c r="Y46" s="2">
        <v>111.4</v>
      </c>
      <c r="Z46" s="2">
        <v>110.6</v>
      </c>
      <c r="AA46" s="2">
        <v>112</v>
      </c>
      <c r="AB46" s="2">
        <v>109</v>
      </c>
      <c r="AC46" s="2">
        <v>111.3</v>
      </c>
      <c r="AD46" s="2">
        <v>114.2</v>
      </c>
    </row>
    <row r="47" spans="1:30" x14ac:dyDescent="0.35">
      <c r="A47" s="2" t="s">
        <v>30</v>
      </c>
      <c r="B47" s="2">
        <v>2014</v>
      </c>
      <c r="C47" s="2" t="s">
        <v>39</v>
      </c>
      <c r="D47" s="2">
        <v>120.2</v>
      </c>
      <c r="E47" s="2">
        <v>118.9</v>
      </c>
      <c r="F47" s="2">
        <v>118.1</v>
      </c>
      <c r="G47" s="2">
        <v>117</v>
      </c>
      <c r="H47" s="2">
        <v>109.7</v>
      </c>
      <c r="I47" s="2">
        <v>125.5</v>
      </c>
      <c r="J47" s="2">
        <v>120.5</v>
      </c>
      <c r="K47" s="2">
        <v>111</v>
      </c>
      <c r="L47" s="2">
        <v>102.6</v>
      </c>
      <c r="M47" s="2">
        <v>111.2</v>
      </c>
      <c r="N47" s="2">
        <v>113.5</v>
      </c>
      <c r="O47" s="2">
        <v>118.7</v>
      </c>
      <c r="P47" s="2">
        <v>117.2</v>
      </c>
      <c r="Q47" s="2">
        <v>115.4</v>
      </c>
      <c r="R47" s="2">
        <v>118.1</v>
      </c>
      <c r="S47" s="2">
        <v>116.1</v>
      </c>
      <c r="T47" s="2">
        <v>117.8</v>
      </c>
      <c r="U47" s="2" t="s">
        <v>32</v>
      </c>
      <c r="V47" s="2">
        <v>113.4</v>
      </c>
      <c r="W47" s="2">
        <v>113.7</v>
      </c>
      <c r="X47" s="2">
        <v>111.8</v>
      </c>
      <c r="Y47" s="2">
        <v>111.2</v>
      </c>
      <c r="Z47" s="2">
        <v>110.5</v>
      </c>
      <c r="AA47" s="2">
        <v>113</v>
      </c>
      <c r="AB47" s="2">
        <v>108.9</v>
      </c>
      <c r="AC47" s="2">
        <v>111.5</v>
      </c>
      <c r="AD47" s="2">
        <v>115.4</v>
      </c>
    </row>
    <row r="48" spans="1:30" x14ac:dyDescent="0.35">
      <c r="A48" s="2" t="s">
        <v>33</v>
      </c>
      <c r="B48" s="2">
        <v>2014</v>
      </c>
      <c r="C48" s="2" t="s">
        <v>39</v>
      </c>
      <c r="D48" s="2">
        <v>122.5</v>
      </c>
      <c r="E48" s="2">
        <v>121.7</v>
      </c>
      <c r="F48" s="2">
        <v>113.3</v>
      </c>
      <c r="G48" s="2">
        <v>117</v>
      </c>
      <c r="H48" s="2">
        <v>103.1</v>
      </c>
      <c r="I48" s="2">
        <v>126.7</v>
      </c>
      <c r="J48" s="2">
        <v>121.2</v>
      </c>
      <c r="K48" s="2">
        <v>111</v>
      </c>
      <c r="L48" s="2">
        <v>100.3</v>
      </c>
      <c r="M48" s="2">
        <v>115.3</v>
      </c>
      <c r="N48" s="2">
        <v>112.7</v>
      </c>
      <c r="O48" s="2">
        <v>121</v>
      </c>
      <c r="P48" s="2">
        <v>118.2</v>
      </c>
      <c r="Q48" s="2">
        <v>117.6</v>
      </c>
      <c r="R48" s="2">
        <v>116.3</v>
      </c>
      <c r="S48" s="2">
        <v>112.5</v>
      </c>
      <c r="T48" s="2">
        <v>115.7</v>
      </c>
      <c r="U48" s="2" t="s">
        <v>61</v>
      </c>
      <c r="V48" s="2">
        <v>110.9</v>
      </c>
      <c r="W48" s="2">
        <v>113.4</v>
      </c>
      <c r="X48" s="2">
        <v>111</v>
      </c>
      <c r="Y48" s="2">
        <v>111.2</v>
      </c>
      <c r="Z48" s="2">
        <v>111.2</v>
      </c>
      <c r="AA48" s="2">
        <v>112.5</v>
      </c>
      <c r="AB48" s="2">
        <v>109.1</v>
      </c>
      <c r="AC48" s="2">
        <v>111.4</v>
      </c>
      <c r="AD48" s="2">
        <v>114.7</v>
      </c>
    </row>
    <row r="49" spans="1:30" x14ac:dyDescent="0.35">
      <c r="A49" s="2" t="s">
        <v>35</v>
      </c>
      <c r="B49" s="2">
        <v>2014</v>
      </c>
      <c r="C49" s="2" t="s">
        <v>39</v>
      </c>
      <c r="D49" s="2">
        <v>120.9</v>
      </c>
      <c r="E49" s="2">
        <v>119.9</v>
      </c>
      <c r="F49" s="2">
        <v>116.2</v>
      </c>
      <c r="G49" s="2">
        <v>117</v>
      </c>
      <c r="H49" s="2">
        <v>107.3</v>
      </c>
      <c r="I49" s="2">
        <v>126.1</v>
      </c>
      <c r="J49" s="2">
        <v>120.7</v>
      </c>
      <c r="K49" s="2">
        <v>111</v>
      </c>
      <c r="L49" s="2">
        <v>101.8</v>
      </c>
      <c r="M49" s="2">
        <v>112.6</v>
      </c>
      <c r="N49" s="2">
        <v>113.2</v>
      </c>
      <c r="O49" s="2">
        <v>119.8</v>
      </c>
      <c r="P49" s="2">
        <v>117.6</v>
      </c>
      <c r="Q49" s="2">
        <v>116</v>
      </c>
      <c r="R49" s="2">
        <v>117.4</v>
      </c>
      <c r="S49" s="2">
        <v>114.6</v>
      </c>
      <c r="T49" s="2">
        <v>117</v>
      </c>
      <c r="U49" s="2" t="s">
        <v>61</v>
      </c>
      <c r="V49" s="2">
        <v>112.5</v>
      </c>
      <c r="W49" s="2">
        <v>113.6</v>
      </c>
      <c r="X49" s="2">
        <v>111.5</v>
      </c>
      <c r="Y49" s="2">
        <v>111.2</v>
      </c>
      <c r="Z49" s="2">
        <v>110.9</v>
      </c>
      <c r="AA49" s="2">
        <v>112.7</v>
      </c>
      <c r="AB49" s="2">
        <v>109</v>
      </c>
      <c r="AC49" s="2">
        <v>111.5</v>
      </c>
      <c r="AD49" s="2">
        <v>115.1</v>
      </c>
    </row>
    <row r="50" spans="1:30" x14ac:dyDescent="0.35">
      <c r="A50" s="2" t="s">
        <v>30</v>
      </c>
      <c r="B50" s="2">
        <v>2014</v>
      </c>
      <c r="C50" s="2" t="s">
        <v>41</v>
      </c>
      <c r="D50" s="2">
        <v>120.3</v>
      </c>
      <c r="E50" s="2">
        <v>120.2</v>
      </c>
      <c r="F50" s="2">
        <v>116.9</v>
      </c>
      <c r="G50" s="2">
        <v>118</v>
      </c>
      <c r="H50" s="2">
        <v>110.1</v>
      </c>
      <c r="I50" s="2">
        <v>126.3</v>
      </c>
      <c r="J50" s="2">
        <v>123.9</v>
      </c>
      <c r="K50" s="2">
        <v>111.5</v>
      </c>
      <c r="L50" s="2">
        <v>103.5</v>
      </c>
      <c r="M50" s="2">
        <v>111.6</v>
      </c>
      <c r="N50" s="2">
        <v>114.2</v>
      </c>
      <c r="O50" s="2">
        <v>119.2</v>
      </c>
      <c r="P50" s="2">
        <v>118.2</v>
      </c>
      <c r="Q50" s="2">
        <v>116.3</v>
      </c>
      <c r="R50" s="2">
        <v>118.7</v>
      </c>
      <c r="S50" s="2">
        <v>116.8</v>
      </c>
      <c r="T50" s="2">
        <v>118.5</v>
      </c>
      <c r="U50" s="2" t="s">
        <v>32</v>
      </c>
      <c r="V50" s="2">
        <v>113.4</v>
      </c>
      <c r="W50" s="2">
        <v>114.1</v>
      </c>
      <c r="X50" s="2">
        <v>112.1</v>
      </c>
      <c r="Y50" s="2">
        <v>111.4</v>
      </c>
      <c r="Z50" s="2">
        <v>110.9</v>
      </c>
      <c r="AA50" s="2">
        <v>113.1</v>
      </c>
      <c r="AB50" s="2">
        <v>108.9</v>
      </c>
      <c r="AC50" s="2">
        <v>111.8</v>
      </c>
      <c r="AD50" s="2">
        <v>116</v>
      </c>
    </row>
    <row r="51" spans="1:30" x14ac:dyDescent="0.35">
      <c r="A51" s="2" t="s">
        <v>33</v>
      </c>
      <c r="B51" s="2">
        <v>2014</v>
      </c>
      <c r="C51" s="2" t="s">
        <v>41</v>
      </c>
      <c r="D51" s="2">
        <v>122.7</v>
      </c>
      <c r="E51" s="2">
        <v>124.1</v>
      </c>
      <c r="F51" s="2">
        <v>114.2</v>
      </c>
      <c r="G51" s="2">
        <v>119.1</v>
      </c>
      <c r="H51" s="2">
        <v>103.5</v>
      </c>
      <c r="I51" s="2">
        <v>129.19999999999999</v>
      </c>
      <c r="J51" s="2">
        <v>127</v>
      </c>
      <c r="K51" s="2">
        <v>112.6</v>
      </c>
      <c r="L51" s="2">
        <v>101.3</v>
      </c>
      <c r="M51" s="2">
        <v>117</v>
      </c>
      <c r="N51" s="2">
        <v>112.9</v>
      </c>
      <c r="O51" s="2">
        <v>121.7</v>
      </c>
      <c r="P51" s="2">
        <v>120</v>
      </c>
      <c r="Q51" s="2">
        <v>118.3</v>
      </c>
      <c r="R51" s="2">
        <v>116.8</v>
      </c>
      <c r="S51" s="2">
        <v>112.9</v>
      </c>
      <c r="T51" s="2">
        <v>116.2</v>
      </c>
      <c r="U51" s="2" t="s">
        <v>62</v>
      </c>
      <c r="V51" s="2">
        <v>111.1</v>
      </c>
      <c r="W51" s="2">
        <v>114.1</v>
      </c>
      <c r="X51" s="2">
        <v>111.2</v>
      </c>
      <c r="Y51" s="2">
        <v>111.3</v>
      </c>
      <c r="Z51" s="2">
        <v>111.5</v>
      </c>
      <c r="AA51" s="2">
        <v>112.9</v>
      </c>
      <c r="AB51" s="2">
        <v>109.3</v>
      </c>
      <c r="AC51" s="2">
        <v>111.7</v>
      </c>
      <c r="AD51" s="2">
        <v>115.6</v>
      </c>
    </row>
    <row r="52" spans="1:30" x14ac:dyDescent="0.35">
      <c r="A52" s="2" t="s">
        <v>35</v>
      </c>
      <c r="B52" s="2">
        <v>2014</v>
      </c>
      <c r="C52" s="2" t="s">
        <v>41</v>
      </c>
      <c r="D52" s="2">
        <v>121.1</v>
      </c>
      <c r="E52" s="2">
        <v>121.6</v>
      </c>
      <c r="F52" s="2">
        <v>115.9</v>
      </c>
      <c r="G52" s="2">
        <v>118.4</v>
      </c>
      <c r="H52" s="2">
        <v>107.7</v>
      </c>
      <c r="I52" s="2">
        <v>127.7</v>
      </c>
      <c r="J52" s="2">
        <v>125</v>
      </c>
      <c r="K52" s="2">
        <v>111.9</v>
      </c>
      <c r="L52" s="2">
        <v>102.8</v>
      </c>
      <c r="M52" s="2">
        <v>113.4</v>
      </c>
      <c r="N52" s="2">
        <v>113.7</v>
      </c>
      <c r="O52" s="2">
        <v>120.4</v>
      </c>
      <c r="P52" s="2">
        <v>118.9</v>
      </c>
      <c r="Q52" s="2">
        <v>116.8</v>
      </c>
      <c r="R52" s="2">
        <v>118</v>
      </c>
      <c r="S52" s="2">
        <v>115.2</v>
      </c>
      <c r="T52" s="2">
        <v>117.6</v>
      </c>
      <c r="U52" s="2" t="s">
        <v>62</v>
      </c>
      <c r="V52" s="2">
        <v>112.5</v>
      </c>
      <c r="W52" s="2">
        <v>114.1</v>
      </c>
      <c r="X52" s="2">
        <v>111.8</v>
      </c>
      <c r="Y52" s="2">
        <v>111.3</v>
      </c>
      <c r="Z52" s="2">
        <v>111.2</v>
      </c>
      <c r="AA52" s="2">
        <v>113</v>
      </c>
      <c r="AB52" s="2">
        <v>109.1</v>
      </c>
      <c r="AC52" s="2">
        <v>111.8</v>
      </c>
      <c r="AD52" s="2">
        <v>115.8</v>
      </c>
    </row>
    <row r="53" spans="1:30" x14ac:dyDescent="0.35">
      <c r="A53" s="2" t="s">
        <v>30</v>
      </c>
      <c r="B53" s="2">
        <v>2014</v>
      </c>
      <c r="C53" s="2" t="s">
        <v>42</v>
      </c>
      <c r="D53" s="2">
        <v>120.7</v>
      </c>
      <c r="E53" s="2">
        <v>121.6</v>
      </c>
      <c r="F53" s="2">
        <v>116.1</v>
      </c>
      <c r="G53" s="2">
        <v>119.3</v>
      </c>
      <c r="H53" s="2">
        <v>110.3</v>
      </c>
      <c r="I53" s="2">
        <v>125.8</v>
      </c>
      <c r="J53" s="2">
        <v>129.30000000000001</v>
      </c>
      <c r="K53" s="2">
        <v>112.2</v>
      </c>
      <c r="L53" s="2">
        <v>103.6</v>
      </c>
      <c r="M53" s="2">
        <v>112.3</v>
      </c>
      <c r="N53" s="2">
        <v>114.9</v>
      </c>
      <c r="O53" s="2">
        <v>120.1</v>
      </c>
      <c r="P53" s="2">
        <v>119.5</v>
      </c>
      <c r="Q53" s="2">
        <v>117.3</v>
      </c>
      <c r="R53" s="2">
        <v>119.7</v>
      </c>
      <c r="S53" s="2">
        <v>117.3</v>
      </c>
      <c r="T53" s="2">
        <v>119.3</v>
      </c>
      <c r="U53" s="2" t="s">
        <v>32</v>
      </c>
      <c r="V53" s="2">
        <v>114.4</v>
      </c>
      <c r="W53" s="2">
        <v>114.9</v>
      </c>
      <c r="X53" s="2">
        <v>112.8</v>
      </c>
      <c r="Y53" s="2">
        <v>112.2</v>
      </c>
      <c r="Z53" s="2">
        <v>111.4</v>
      </c>
      <c r="AA53" s="2">
        <v>114.3</v>
      </c>
      <c r="AB53" s="2">
        <v>108</v>
      </c>
      <c r="AC53" s="2">
        <v>112.3</v>
      </c>
      <c r="AD53" s="2">
        <v>117</v>
      </c>
    </row>
    <row r="54" spans="1:30" x14ac:dyDescent="0.35">
      <c r="A54" s="2" t="s">
        <v>33</v>
      </c>
      <c r="B54" s="2">
        <v>2014</v>
      </c>
      <c r="C54" s="2" t="s">
        <v>42</v>
      </c>
      <c r="D54" s="2">
        <v>123.1</v>
      </c>
      <c r="E54" s="2">
        <v>125.9</v>
      </c>
      <c r="F54" s="2">
        <v>115.4</v>
      </c>
      <c r="G54" s="2">
        <v>120.4</v>
      </c>
      <c r="H54" s="2">
        <v>103.4</v>
      </c>
      <c r="I54" s="2">
        <v>131.19999999999999</v>
      </c>
      <c r="J54" s="2">
        <v>137.5</v>
      </c>
      <c r="K54" s="2">
        <v>112.8</v>
      </c>
      <c r="L54" s="2">
        <v>101.4</v>
      </c>
      <c r="M54" s="2">
        <v>118.3</v>
      </c>
      <c r="N54" s="2">
        <v>113.2</v>
      </c>
      <c r="O54" s="2">
        <v>122.4</v>
      </c>
      <c r="P54" s="2">
        <v>122</v>
      </c>
      <c r="Q54" s="2">
        <v>119</v>
      </c>
      <c r="R54" s="2">
        <v>117.4</v>
      </c>
      <c r="S54" s="2">
        <v>113.2</v>
      </c>
      <c r="T54" s="2">
        <v>116.7</v>
      </c>
      <c r="U54" s="2" t="s">
        <v>61</v>
      </c>
      <c r="V54" s="2">
        <v>111.2</v>
      </c>
      <c r="W54" s="2">
        <v>114.3</v>
      </c>
      <c r="X54" s="2">
        <v>111.4</v>
      </c>
      <c r="Y54" s="2">
        <v>111.5</v>
      </c>
      <c r="Z54" s="2">
        <v>111.8</v>
      </c>
      <c r="AA54" s="2">
        <v>115.1</v>
      </c>
      <c r="AB54" s="2">
        <v>108.7</v>
      </c>
      <c r="AC54" s="2">
        <v>112.2</v>
      </c>
      <c r="AD54" s="2">
        <v>116.4</v>
      </c>
    </row>
    <row r="55" spans="1:30" x14ac:dyDescent="0.35">
      <c r="A55" s="2" t="s">
        <v>35</v>
      </c>
      <c r="B55" s="2">
        <v>2014</v>
      </c>
      <c r="C55" s="2" t="s">
        <v>42</v>
      </c>
      <c r="D55" s="2">
        <v>121.5</v>
      </c>
      <c r="E55" s="2">
        <v>123.1</v>
      </c>
      <c r="F55" s="2">
        <v>115.8</v>
      </c>
      <c r="G55" s="2">
        <v>119.7</v>
      </c>
      <c r="H55" s="2">
        <v>107.8</v>
      </c>
      <c r="I55" s="2">
        <v>128.30000000000001</v>
      </c>
      <c r="J55" s="2">
        <v>132.1</v>
      </c>
      <c r="K55" s="2">
        <v>112.4</v>
      </c>
      <c r="L55" s="2">
        <v>102.9</v>
      </c>
      <c r="M55" s="2">
        <v>114.3</v>
      </c>
      <c r="N55" s="2">
        <v>114.2</v>
      </c>
      <c r="O55" s="2">
        <v>121.2</v>
      </c>
      <c r="P55" s="2">
        <v>120.4</v>
      </c>
      <c r="Q55" s="2">
        <v>117.8</v>
      </c>
      <c r="R55" s="2">
        <v>118.8</v>
      </c>
      <c r="S55" s="2">
        <v>115.6</v>
      </c>
      <c r="T55" s="2">
        <v>118.3</v>
      </c>
      <c r="U55" s="2" t="s">
        <v>61</v>
      </c>
      <c r="V55" s="2">
        <v>113.2</v>
      </c>
      <c r="W55" s="2">
        <v>114.6</v>
      </c>
      <c r="X55" s="2">
        <v>112.3</v>
      </c>
      <c r="Y55" s="2">
        <v>111.8</v>
      </c>
      <c r="Z55" s="2">
        <v>111.6</v>
      </c>
      <c r="AA55" s="2">
        <v>114.8</v>
      </c>
      <c r="AB55" s="2">
        <v>108.3</v>
      </c>
      <c r="AC55" s="2">
        <v>112.3</v>
      </c>
      <c r="AD55" s="2">
        <v>116.7</v>
      </c>
    </row>
    <row r="56" spans="1:30" x14ac:dyDescent="0.35">
      <c r="A56" s="2" t="s">
        <v>30</v>
      </c>
      <c r="B56" s="2">
        <v>2014</v>
      </c>
      <c r="C56" s="2" t="s">
        <v>44</v>
      </c>
      <c r="D56" s="2">
        <v>121.7</v>
      </c>
      <c r="E56" s="2">
        <v>122.5</v>
      </c>
      <c r="F56" s="2">
        <v>117.7</v>
      </c>
      <c r="G56" s="2">
        <v>120.6</v>
      </c>
      <c r="H56" s="2">
        <v>110.4</v>
      </c>
      <c r="I56" s="2">
        <v>129.1</v>
      </c>
      <c r="J56" s="2">
        <v>150.1</v>
      </c>
      <c r="K56" s="2">
        <v>113.2</v>
      </c>
      <c r="L56" s="2">
        <v>104.8</v>
      </c>
      <c r="M56" s="2">
        <v>113.3</v>
      </c>
      <c r="N56" s="2">
        <v>115.6</v>
      </c>
      <c r="O56" s="2">
        <v>120.9</v>
      </c>
      <c r="P56" s="2">
        <v>123.3</v>
      </c>
      <c r="Q56" s="2">
        <v>118</v>
      </c>
      <c r="R56" s="2">
        <v>120.7</v>
      </c>
      <c r="S56" s="2">
        <v>118.3</v>
      </c>
      <c r="T56" s="2">
        <v>120.3</v>
      </c>
      <c r="U56" s="2" t="s">
        <v>32</v>
      </c>
      <c r="V56" s="2">
        <v>115.3</v>
      </c>
      <c r="W56" s="2">
        <v>115.4</v>
      </c>
      <c r="X56" s="2">
        <v>113.4</v>
      </c>
      <c r="Y56" s="2">
        <v>113.2</v>
      </c>
      <c r="Z56" s="2">
        <v>111.8</v>
      </c>
      <c r="AA56" s="2">
        <v>115.5</v>
      </c>
      <c r="AB56" s="2">
        <v>108.8</v>
      </c>
      <c r="AC56" s="2">
        <v>113.1</v>
      </c>
      <c r="AD56" s="2">
        <v>119.5</v>
      </c>
    </row>
    <row r="57" spans="1:30" x14ac:dyDescent="0.35">
      <c r="A57" s="2" t="s">
        <v>33</v>
      </c>
      <c r="B57" s="2">
        <v>2014</v>
      </c>
      <c r="C57" s="2" t="s">
        <v>44</v>
      </c>
      <c r="D57" s="2">
        <v>123.8</v>
      </c>
      <c r="E57" s="2">
        <v>126.4</v>
      </c>
      <c r="F57" s="2">
        <v>118</v>
      </c>
      <c r="G57" s="2">
        <v>121.6</v>
      </c>
      <c r="H57" s="2">
        <v>103.5</v>
      </c>
      <c r="I57" s="2">
        <v>133.69999999999999</v>
      </c>
      <c r="J57" s="2">
        <v>172.4</v>
      </c>
      <c r="K57" s="2">
        <v>113.1</v>
      </c>
      <c r="L57" s="2">
        <v>102.7</v>
      </c>
      <c r="M57" s="2">
        <v>120</v>
      </c>
      <c r="N57" s="2">
        <v>113.8</v>
      </c>
      <c r="O57" s="2">
        <v>123.4</v>
      </c>
      <c r="P57" s="2">
        <v>127.1</v>
      </c>
      <c r="Q57" s="2">
        <v>121</v>
      </c>
      <c r="R57" s="2">
        <v>118</v>
      </c>
      <c r="S57" s="2">
        <v>113.6</v>
      </c>
      <c r="T57" s="2">
        <v>117.4</v>
      </c>
      <c r="U57" s="2" t="s">
        <v>63</v>
      </c>
      <c r="V57" s="2">
        <v>111.6</v>
      </c>
      <c r="W57" s="2">
        <v>114.9</v>
      </c>
      <c r="X57" s="2">
        <v>111.5</v>
      </c>
      <c r="Y57" s="2">
        <v>113</v>
      </c>
      <c r="Z57" s="2">
        <v>112.4</v>
      </c>
      <c r="AA57" s="2">
        <v>117.8</v>
      </c>
      <c r="AB57" s="2">
        <v>109.7</v>
      </c>
      <c r="AC57" s="2">
        <v>113.5</v>
      </c>
      <c r="AD57" s="2">
        <v>118.9</v>
      </c>
    </row>
    <row r="58" spans="1:30" x14ac:dyDescent="0.35">
      <c r="A58" s="2" t="s">
        <v>35</v>
      </c>
      <c r="B58" s="2">
        <v>2014</v>
      </c>
      <c r="C58" s="2" t="s">
        <v>44</v>
      </c>
      <c r="D58" s="2">
        <v>122.4</v>
      </c>
      <c r="E58" s="2">
        <v>123.9</v>
      </c>
      <c r="F58" s="2">
        <v>117.8</v>
      </c>
      <c r="G58" s="2">
        <v>121</v>
      </c>
      <c r="H58" s="2">
        <v>107.9</v>
      </c>
      <c r="I58" s="2">
        <v>131.19999999999999</v>
      </c>
      <c r="J58" s="2">
        <v>157.69999999999999</v>
      </c>
      <c r="K58" s="2">
        <v>113.2</v>
      </c>
      <c r="L58" s="2">
        <v>104.1</v>
      </c>
      <c r="M58" s="2">
        <v>115.5</v>
      </c>
      <c r="N58" s="2">
        <v>114.8</v>
      </c>
      <c r="O58" s="2">
        <v>122.1</v>
      </c>
      <c r="P58" s="2">
        <v>124.7</v>
      </c>
      <c r="Q58" s="2">
        <v>118.8</v>
      </c>
      <c r="R58" s="2">
        <v>119.6</v>
      </c>
      <c r="S58" s="2">
        <v>116.3</v>
      </c>
      <c r="T58" s="2">
        <v>119.1</v>
      </c>
      <c r="U58" s="2" t="s">
        <v>63</v>
      </c>
      <c r="V58" s="2">
        <v>113.9</v>
      </c>
      <c r="W58" s="2">
        <v>115.2</v>
      </c>
      <c r="X58" s="2">
        <v>112.7</v>
      </c>
      <c r="Y58" s="2">
        <v>113.1</v>
      </c>
      <c r="Z58" s="2">
        <v>112.1</v>
      </c>
      <c r="AA58" s="2">
        <v>116.8</v>
      </c>
      <c r="AB58" s="2">
        <v>109.2</v>
      </c>
      <c r="AC58" s="2">
        <v>113.3</v>
      </c>
      <c r="AD58" s="2">
        <v>119.2</v>
      </c>
    </row>
    <row r="59" spans="1:30" x14ac:dyDescent="0.35">
      <c r="A59" s="2" t="s">
        <v>30</v>
      </c>
      <c r="B59" s="2">
        <v>2014</v>
      </c>
      <c r="C59" s="2" t="s">
        <v>46</v>
      </c>
      <c r="D59" s="2">
        <v>121.8</v>
      </c>
      <c r="E59" s="2">
        <v>122.8</v>
      </c>
      <c r="F59" s="2">
        <v>117.8</v>
      </c>
      <c r="G59" s="2">
        <v>121.9</v>
      </c>
      <c r="H59" s="2">
        <v>110.6</v>
      </c>
      <c r="I59" s="2">
        <v>129.69999999999999</v>
      </c>
      <c r="J59" s="2">
        <v>161.1</v>
      </c>
      <c r="K59" s="2">
        <v>114.1</v>
      </c>
      <c r="L59" s="2">
        <v>105.1</v>
      </c>
      <c r="M59" s="2">
        <v>114.6</v>
      </c>
      <c r="N59" s="2">
        <v>115.8</v>
      </c>
      <c r="O59" s="2">
        <v>121.7</v>
      </c>
      <c r="P59" s="2">
        <v>125.3</v>
      </c>
      <c r="Q59" s="2">
        <v>118.8</v>
      </c>
      <c r="R59" s="2">
        <v>120.9</v>
      </c>
      <c r="S59" s="2">
        <v>118.8</v>
      </c>
      <c r="T59" s="2">
        <v>120.7</v>
      </c>
      <c r="U59" s="2" t="s">
        <v>32</v>
      </c>
      <c r="V59" s="2">
        <v>115.4</v>
      </c>
      <c r="W59" s="2">
        <v>115.9</v>
      </c>
      <c r="X59" s="2">
        <v>114</v>
      </c>
      <c r="Y59" s="2">
        <v>113.2</v>
      </c>
      <c r="Z59" s="2">
        <v>112.2</v>
      </c>
      <c r="AA59" s="2">
        <v>116.2</v>
      </c>
      <c r="AB59" s="2">
        <v>109.4</v>
      </c>
      <c r="AC59" s="2">
        <v>113.5</v>
      </c>
      <c r="AD59" s="2">
        <v>120.7</v>
      </c>
    </row>
    <row r="60" spans="1:30" x14ac:dyDescent="0.35">
      <c r="A60" s="2" t="s">
        <v>33</v>
      </c>
      <c r="B60" s="2">
        <v>2014</v>
      </c>
      <c r="C60" s="2" t="s">
        <v>46</v>
      </c>
      <c r="D60" s="2">
        <v>124.8</v>
      </c>
      <c r="E60" s="2">
        <v>127.3</v>
      </c>
      <c r="F60" s="2">
        <v>116.5</v>
      </c>
      <c r="G60" s="2">
        <v>122.2</v>
      </c>
      <c r="H60" s="2">
        <v>103.6</v>
      </c>
      <c r="I60" s="2">
        <v>132.69999999999999</v>
      </c>
      <c r="J60" s="2">
        <v>181.9</v>
      </c>
      <c r="K60" s="2">
        <v>115.2</v>
      </c>
      <c r="L60" s="2">
        <v>102.7</v>
      </c>
      <c r="M60" s="2">
        <v>122.1</v>
      </c>
      <c r="N60" s="2">
        <v>114.4</v>
      </c>
      <c r="O60" s="2">
        <v>124.7</v>
      </c>
      <c r="P60" s="2">
        <v>128.9</v>
      </c>
      <c r="Q60" s="2">
        <v>123</v>
      </c>
      <c r="R60" s="2">
        <v>118.6</v>
      </c>
      <c r="S60" s="2">
        <v>114.1</v>
      </c>
      <c r="T60" s="2">
        <v>117.9</v>
      </c>
      <c r="U60" s="2" t="s">
        <v>64</v>
      </c>
      <c r="V60" s="2">
        <v>111.8</v>
      </c>
      <c r="W60" s="2">
        <v>115.3</v>
      </c>
      <c r="X60" s="2">
        <v>112.2</v>
      </c>
      <c r="Y60" s="2">
        <v>112.5</v>
      </c>
      <c r="Z60" s="2">
        <v>112.9</v>
      </c>
      <c r="AA60" s="2">
        <v>119.2</v>
      </c>
      <c r="AB60" s="2">
        <v>110.5</v>
      </c>
      <c r="AC60" s="2">
        <v>113.9</v>
      </c>
      <c r="AD60" s="2">
        <v>119.9</v>
      </c>
    </row>
    <row r="61" spans="1:30" x14ac:dyDescent="0.35">
      <c r="A61" s="2" t="s">
        <v>35</v>
      </c>
      <c r="B61" s="2">
        <v>2014</v>
      </c>
      <c r="C61" s="2" t="s">
        <v>46</v>
      </c>
      <c r="D61" s="2">
        <v>122.7</v>
      </c>
      <c r="E61" s="2">
        <v>124.4</v>
      </c>
      <c r="F61" s="2">
        <v>117.3</v>
      </c>
      <c r="G61" s="2">
        <v>122</v>
      </c>
      <c r="H61" s="2">
        <v>108</v>
      </c>
      <c r="I61" s="2">
        <v>131.1</v>
      </c>
      <c r="J61" s="2">
        <v>168.2</v>
      </c>
      <c r="K61" s="2">
        <v>114.5</v>
      </c>
      <c r="L61" s="2">
        <v>104.3</v>
      </c>
      <c r="M61" s="2">
        <v>117.1</v>
      </c>
      <c r="N61" s="2">
        <v>115.2</v>
      </c>
      <c r="O61" s="2">
        <v>123.1</v>
      </c>
      <c r="P61" s="2">
        <v>126.6</v>
      </c>
      <c r="Q61" s="2">
        <v>119.9</v>
      </c>
      <c r="R61" s="2">
        <v>120</v>
      </c>
      <c r="S61" s="2">
        <v>116.8</v>
      </c>
      <c r="T61" s="2">
        <v>119.6</v>
      </c>
      <c r="U61" s="2" t="s">
        <v>64</v>
      </c>
      <c r="V61" s="2">
        <v>114</v>
      </c>
      <c r="W61" s="2">
        <v>115.6</v>
      </c>
      <c r="X61" s="2">
        <v>113.3</v>
      </c>
      <c r="Y61" s="2">
        <v>112.8</v>
      </c>
      <c r="Z61" s="2">
        <v>112.6</v>
      </c>
      <c r="AA61" s="2">
        <v>118</v>
      </c>
      <c r="AB61" s="2">
        <v>109.9</v>
      </c>
      <c r="AC61" s="2">
        <v>113.7</v>
      </c>
      <c r="AD61" s="2">
        <v>120.3</v>
      </c>
    </row>
    <row r="62" spans="1:30" x14ac:dyDescent="0.35">
      <c r="A62" s="2" t="s">
        <v>30</v>
      </c>
      <c r="B62" s="2">
        <v>2014</v>
      </c>
      <c r="C62" s="2" t="s">
        <v>48</v>
      </c>
      <c r="D62" s="2">
        <v>122.3</v>
      </c>
      <c r="E62" s="2">
        <v>122.4</v>
      </c>
      <c r="F62" s="2">
        <v>117.8</v>
      </c>
      <c r="G62" s="2">
        <v>122.7</v>
      </c>
      <c r="H62" s="2">
        <v>110.4</v>
      </c>
      <c r="I62" s="2">
        <v>129.80000000000001</v>
      </c>
      <c r="J62" s="2">
        <v>158.80000000000001</v>
      </c>
      <c r="K62" s="2">
        <v>115</v>
      </c>
      <c r="L62" s="2">
        <v>104.7</v>
      </c>
      <c r="M62" s="2">
        <v>114.9</v>
      </c>
      <c r="N62" s="2">
        <v>116.5</v>
      </c>
      <c r="O62" s="2">
        <v>122.6</v>
      </c>
      <c r="P62" s="2">
        <v>125.3</v>
      </c>
      <c r="Q62" s="2">
        <v>119.5</v>
      </c>
      <c r="R62" s="2">
        <v>121.7</v>
      </c>
      <c r="S62" s="2">
        <v>119.2</v>
      </c>
      <c r="T62" s="2">
        <v>121.3</v>
      </c>
      <c r="U62" s="2" t="s">
        <v>32</v>
      </c>
      <c r="V62" s="2">
        <v>115.8</v>
      </c>
      <c r="W62" s="2">
        <v>116.7</v>
      </c>
      <c r="X62" s="2">
        <v>114.5</v>
      </c>
      <c r="Y62" s="2">
        <v>112.8</v>
      </c>
      <c r="Z62" s="2">
        <v>112.6</v>
      </c>
      <c r="AA62" s="2">
        <v>116.6</v>
      </c>
      <c r="AB62" s="2">
        <v>109.1</v>
      </c>
      <c r="AC62" s="2">
        <v>113.7</v>
      </c>
      <c r="AD62" s="2">
        <v>120.9</v>
      </c>
    </row>
    <row r="63" spans="1:30" x14ac:dyDescent="0.35">
      <c r="A63" s="2" t="s">
        <v>33</v>
      </c>
      <c r="B63" s="2">
        <v>2014</v>
      </c>
      <c r="C63" s="2" t="s">
        <v>48</v>
      </c>
      <c r="D63" s="2">
        <v>124.2</v>
      </c>
      <c r="E63" s="2">
        <v>125.4</v>
      </c>
      <c r="F63" s="2">
        <v>116.4</v>
      </c>
      <c r="G63" s="2">
        <v>122.7</v>
      </c>
      <c r="H63" s="2">
        <v>103.5</v>
      </c>
      <c r="I63" s="2">
        <v>124.5</v>
      </c>
      <c r="J63" s="2">
        <v>168.6</v>
      </c>
      <c r="K63" s="2">
        <v>116.9</v>
      </c>
      <c r="L63" s="2">
        <v>101.9</v>
      </c>
      <c r="M63" s="2">
        <v>122.9</v>
      </c>
      <c r="N63" s="2">
        <v>114.8</v>
      </c>
      <c r="O63" s="2">
        <v>125.2</v>
      </c>
      <c r="P63" s="2">
        <v>126.7</v>
      </c>
      <c r="Q63" s="2">
        <v>124.3</v>
      </c>
      <c r="R63" s="2">
        <v>119.2</v>
      </c>
      <c r="S63" s="2">
        <v>114.5</v>
      </c>
      <c r="T63" s="2">
        <v>118.4</v>
      </c>
      <c r="U63" s="2" t="s">
        <v>65</v>
      </c>
      <c r="V63" s="2">
        <v>111.8</v>
      </c>
      <c r="W63" s="2">
        <v>115.5</v>
      </c>
      <c r="X63" s="2">
        <v>112.3</v>
      </c>
      <c r="Y63" s="2">
        <v>111.2</v>
      </c>
      <c r="Z63" s="2">
        <v>113.4</v>
      </c>
      <c r="AA63" s="2">
        <v>120</v>
      </c>
      <c r="AB63" s="2">
        <v>110</v>
      </c>
      <c r="AC63" s="2">
        <v>113.6</v>
      </c>
      <c r="AD63" s="2">
        <v>119.2</v>
      </c>
    </row>
    <row r="64" spans="1:30" x14ac:dyDescent="0.35">
      <c r="A64" s="2" t="s">
        <v>35</v>
      </c>
      <c r="B64" s="2">
        <v>2014</v>
      </c>
      <c r="C64" s="2" t="s">
        <v>48</v>
      </c>
      <c r="D64" s="2">
        <v>122.9</v>
      </c>
      <c r="E64" s="2">
        <v>123.5</v>
      </c>
      <c r="F64" s="2">
        <v>117.3</v>
      </c>
      <c r="G64" s="2">
        <v>122.7</v>
      </c>
      <c r="H64" s="2">
        <v>107.9</v>
      </c>
      <c r="I64" s="2">
        <v>127.3</v>
      </c>
      <c r="J64" s="2">
        <v>162.1</v>
      </c>
      <c r="K64" s="2">
        <v>115.6</v>
      </c>
      <c r="L64" s="2">
        <v>103.8</v>
      </c>
      <c r="M64" s="2">
        <v>117.6</v>
      </c>
      <c r="N64" s="2">
        <v>115.8</v>
      </c>
      <c r="O64" s="2">
        <v>123.8</v>
      </c>
      <c r="P64" s="2">
        <v>125.8</v>
      </c>
      <c r="Q64" s="2">
        <v>120.8</v>
      </c>
      <c r="R64" s="2">
        <v>120.7</v>
      </c>
      <c r="S64" s="2">
        <v>117.2</v>
      </c>
      <c r="T64" s="2">
        <v>120.1</v>
      </c>
      <c r="U64" s="2" t="s">
        <v>65</v>
      </c>
      <c r="V64" s="2">
        <v>114.3</v>
      </c>
      <c r="W64" s="2">
        <v>116.1</v>
      </c>
      <c r="X64" s="2">
        <v>113.7</v>
      </c>
      <c r="Y64" s="2">
        <v>112</v>
      </c>
      <c r="Z64" s="2">
        <v>113.1</v>
      </c>
      <c r="AA64" s="2">
        <v>118.6</v>
      </c>
      <c r="AB64" s="2">
        <v>109.5</v>
      </c>
      <c r="AC64" s="2">
        <v>113.7</v>
      </c>
      <c r="AD64" s="2">
        <v>120.1</v>
      </c>
    </row>
    <row r="65" spans="1:30" x14ac:dyDescent="0.35">
      <c r="A65" s="2" t="s">
        <v>30</v>
      </c>
      <c r="B65" s="2">
        <v>2014</v>
      </c>
      <c r="C65" s="2" t="s">
        <v>50</v>
      </c>
      <c r="D65" s="2">
        <v>122.6</v>
      </c>
      <c r="E65" s="2">
        <v>122.5</v>
      </c>
      <c r="F65" s="2">
        <v>118.3</v>
      </c>
      <c r="G65" s="2">
        <v>123.2</v>
      </c>
      <c r="H65" s="2">
        <v>110.5</v>
      </c>
      <c r="I65" s="2">
        <v>128.9</v>
      </c>
      <c r="J65" s="2">
        <v>155.30000000000001</v>
      </c>
      <c r="K65" s="2">
        <v>115.5</v>
      </c>
      <c r="L65" s="2">
        <v>104</v>
      </c>
      <c r="M65" s="2">
        <v>115.3</v>
      </c>
      <c r="N65" s="2">
        <v>116.8</v>
      </c>
      <c r="O65" s="2">
        <v>123.2</v>
      </c>
      <c r="P65" s="2">
        <v>125.1</v>
      </c>
      <c r="Q65" s="2">
        <v>120</v>
      </c>
      <c r="R65" s="2">
        <v>122.7</v>
      </c>
      <c r="S65" s="2">
        <v>120.3</v>
      </c>
      <c r="T65" s="2">
        <v>122.3</v>
      </c>
      <c r="U65" s="2" t="s">
        <v>32</v>
      </c>
      <c r="V65" s="2">
        <v>116.4</v>
      </c>
      <c r="W65" s="2">
        <v>117.5</v>
      </c>
      <c r="X65" s="2">
        <v>115.3</v>
      </c>
      <c r="Y65" s="2">
        <v>112.6</v>
      </c>
      <c r="Z65" s="2">
        <v>113</v>
      </c>
      <c r="AA65" s="2">
        <v>116.9</v>
      </c>
      <c r="AB65" s="2">
        <v>109.3</v>
      </c>
      <c r="AC65" s="2">
        <v>114</v>
      </c>
      <c r="AD65" s="2">
        <v>121</v>
      </c>
    </row>
    <row r="66" spans="1:30" x14ac:dyDescent="0.35">
      <c r="A66" s="2" t="s">
        <v>33</v>
      </c>
      <c r="B66" s="2">
        <v>2014</v>
      </c>
      <c r="C66" s="2" t="s">
        <v>50</v>
      </c>
      <c r="D66" s="2">
        <v>124.6</v>
      </c>
      <c r="E66" s="2">
        <v>126.1</v>
      </c>
      <c r="F66" s="2">
        <v>117.8</v>
      </c>
      <c r="G66" s="2">
        <v>123.1</v>
      </c>
      <c r="H66" s="2">
        <v>103.5</v>
      </c>
      <c r="I66" s="2">
        <v>123.5</v>
      </c>
      <c r="J66" s="2">
        <v>159.6</v>
      </c>
      <c r="K66" s="2">
        <v>117.4</v>
      </c>
      <c r="L66" s="2">
        <v>101.2</v>
      </c>
      <c r="M66" s="2">
        <v>123.8</v>
      </c>
      <c r="N66" s="2">
        <v>115.2</v>
      </c>
      <c r="O66" s="2">
        <v>125.9</v>
      </c>
      <c r="P66" s="2">
        <v>125.8</v>
      </c>
      <c r="Q66" s="2">
        <v>124.3</v>
      </c>
      <c r="R66" s="2">
        <v>119.6</v>
      </c>
      <c r="S66" s="2">
        <v>114.9</v>
      </c>
      <c r="T66" s="2">
        <v>118.9</v>
      </c>
      <c r="U66" s="2" t="s">
        <v>66</v>
      </c>
      <c r="V66" s="2">
        <v>112</v>
      </c>
      <c r="W66" s="2">
        <v>115.8</v>
      </c>
      <c r="X66" s="2">
        <v>112.6</v>
      </c>
      <c r="Y66" s="2">
        <v>111</v>
      </c>
      <c r="Z66" s="2">
        <v>113.6</v>
      </c>
      <c r="AA66" s="2">
        <v>120.2</v>
      </c>
      <c r="AB66" s="2">
        <v>110.1</v>
      </c>
      <c r="AC66" s="2">
        <v>113.7</v>
      </c>
      <c r="AD66" s="2">
        <v>119.1</v>
      </c>
    </row>
    <row r="67" spans="1:30" x14ac:dyDescent="0.35">
      <c r="A67" s="2" t="s">
        <v>35</v>
      </c>
      <c r="B67" s="2">
        <v>2014</v>
      </c>
      <c r="C67" s="2" t="s">
        <v>50</v>
      </c>
      <c r="D67" s="2">
        <v>123.2</v>
      </c>
      <c r="E67" s="2">
        <v>123.8</v>
      </c>
      <c r="F67" s="2">
        <v>118.1</v>
      </c>
      <c r="G67" s="2">
        <v>123.2</v>
      </c>
      <c r="H67" s="2">
        <v>107.9</v>
      </c>
      <c r="I67" s="2">
        <v>126.4</v>
      </c>
      <c r="J67" s="2">
        <v>156.80000000000001</v>
      </c>
      <c r="K67" s="2">
        <v>116.1</v>
      </c>
      <c r="L67" s="2">
        <v>103.1</v>
      </c>
      <c r="M67" s="2">
        <v>118.1</v>
      </c>
      <c r="N67" s="2">
        <v>116.1</v>
      </c>
      <c r="O67" s="2">
        <v>124.5</v>
      </c>
      <c r="P67" s="2">
        <v>125.4</v>
      </c>
      <c r="Q67" s="2">
        <v>121.1</v>
      </c>
      <c r="R67" s="2">
        <v>121.5</v>
      </c>
      <c r="S67" s="2">
        <v>118.1</v>
      </c>
      <c r="T67" s="2">
        <v>121</v>
      </c>
      <c r="U67" s="2" t="s">
        <v>66</v>
      </c>
      <c r="V67" s="2">
        <v>114.7</v>
      </c>
      <c r="W67" s="2">
        <v>116.7</v>
      </c>
      <c r="X67" s="2">
        <v>114.3</v>
      </c>
      <c r="Y67" s="2">
        <v>111.8</v>
      </c>
      <c r="Z67" s="2">
        <v>113.3</v>
      </c>
      <c r="AA67" s="2">
        <v>118.8</v>
      </c>
      <c r="AB67" s="2">
        <v>109.6</v>
      </c>
      <c r="AC67" s="2">
        <v>113.9</v>
      </c>
      <c r="AD67" s="2">
        <v>120.1</v>
      </c>
    </row>
    <row r="68" spans="1:30" x14ac:dyDescent="0.35">
      <c r="A68" s="2" t="s">
        <v>30</v>
      </c>
      <c r="B68" s="2">
        <v>2014</v>
      </c>
      <c r="C68" s="2" t="s">
        <v>53</v>
      </c>
      <c r="D68" s="2">
        <v>122.7</v>
      </c>
      <c r="E68" s="2">
        <v>122.6</v>
      </c>
      <c r="F68" s="2">
        <v>119.9</v>
      </c>
      <c r="G68" s="2">
        <v>124</v>
      </c>
      <c r="H68" s="2">
        <v>110.5</v>
      </c>
      <c r="I68" s="2">
        <v>128.80000000000001</v>
      </c>
      <c r="J68" s="2">
        <v>152</v>
      </c>
      <c r="K68" s="2">
        <v>116.2</v>
      </c>
      <c r="L68" s="2">
        <v>103.3</v>
      </c>
      <c r="M68" s="2">
        <v>115.8</v>
      </c>
      <c r="N68" s="2">
        <v>116.8</v>
      </c>
      <c r="O68" s="2">
        <v>124.5</v>
      </c>
      <c r="P68" s="2">
        <v>124.9</v>
      </c>
      <c r="Q68" s="2">
        <v>120.8</v>
      </c>
      <c r="R68" s="2">
        <v>123.3</v>
      </c>
      <c r="S68" s="2">
        <v>120.5</v>
      </c>
      <c r="T68" s="2">
        <v>122.9</v>
      </c>
      <c r="U68" s="2" t="s">
        <v>32</v>
      </c>
      <c r="V68" s="2">
        <v>117.3</v>
      </c>
      <c r="W68" s="2">
        <v>118.1</v>
      </c>
      <c r="X68" s="2">
        <v>115.9</v>
      </c>
      <c r="Y68" s="2">
        <v>112</v>
      </c>
      <c r="Z68" s="2">
        <v>113.3</v>
      </c>
      <c r="AA68" s="2">
        <v>117.2</v>
      </c>
      <c r="AB68" s="2">
        <v>108.8</v>
      </c>
      <c r="AC68" s="2">
        <v>114.1</v>
      </c>
      <c r="AD68" s="2">
        <v>121.1</v>
      </c>
    </row>
    <row r="69" spans="1:30" x14ac:dyDescent="0.35">
      <c r="A69" s="2" t="s">
        <v>33</v>
      </c>
      <c r="B69" s="2">
        <v>2014</v>
      </c>
      <c r="C69" s="2" t="s">
        <v>53</v>
      </c>
      <c r="D69" s="2">
        <v>124.5</v>
      </c>
      <c r="E69" s="2">
        <v>125.6</v>
      </c>
      <c r="F69" s="2">
        <v>122.7</v>
      </c>
      <c r="G69" s="2">
        <v>124.6</v>
      </c>
      <c r="H69" s="2">
        <v>103.2</v>
      </c>
      <c r="I69" s="2">
        <v>122.2</v>
      </c>
      <c r="J69" s="2">
        <v>153.19999999999999</v>
      </c>
      <c r="K69" s="2">
        <v>119.3</v>
      </c>
      <c r="L69" s="2">
        <v>99.8</v>
      </c>
      <c r="M69" s="2">
        <v>124.6</v>
      </c>
      <c r="N69" s="2">
        <v>115.8</v>
      </c>
      <c r="O69" s="2">
        <v>126.9</v>
      </c>
      <c r="P69" s="2">
        <v>125.4</v>
      </c>
      <c r="Q69" s="2">
        <v>125.8</v>
      </c>
      <c r="R69" s="2">
        <v>120.3</v>
      </c>
      <c r="S69" s="2">
        <v>115.4</v>
      </c>
      <c r="T69" s="2">
        <v>119.5</v>
      </c>
      <c r="U69" s="2" t="s">
        <v>67</v>
      </c>
      <c r="V69" s="2">
        <v>112.6</v>
      </c>
      <c r="W69" s="2">
        <v>116.4</v>
      </c>
      <c r="X69" s="2">
        <v>113</v>
      </c>
      <c r="Y69" s="2">
        <v>109.7</v>
      </c>
      <c r="Z69" s="2">
        <v>114</v>
      </c>
      <c r="AA69" s="2">
        <v>120.3</v>
      </c>
      <c r="AB69" s="2">
        <v>109.6</v>
      </c>
      <c r="AC69" s="2">
        <v>113.4</v>
      </c>
      <c r="AD69" s="2">
        <v>119</v>
      </c>
    </row>
    <row r="70" spans="1:30" x14ac:dyDescent="0.35">
      <c r="A70" s="2" t="s">
        <v>35</v>
      </c>
      <c r="B70" s="2">
        <v>2014</v>
      </c>
      <c r="C70" s="2" t="s">
        <v>53</v>
      </c>
      <c r="D70" s="2">
        <v>123.3</v>
      </c>
      <c r="E70" s="2">
        <v>123.7</v>
      </c>
      <c r="F70" s="2">
        <v>121</v>
      </c>
      <c r="G70" s="2">
        <v>124.2</v>
      </c>
      <c r="H70" s="2">
        <v>107.8</v>
      </c>
      <c r="I70" s="2">
        <v>125.7</v>
      </c>
      <c r="J70" s="2">
        <v>152.4</v>
      </c>
      <c r="K70" s="2">
        <v>117.2</v>
      </c>
      <c r="L70" s="2">
        <v>102.1</v>
      </c>
      <c r="M70" s="2">
        <v>118.7</v>
      </c>
      <c r="N70" s="2">
        <v>116.4</v>
      </c>
      <c r="O70" s="2">
        <v>125.6</v>
      </c>
      <c r="P70" s="2">
        <v>125.1</v>
      </c>
      <c r="Q70" s="2">
        <v>122.1</v>
      </c>
      <c r="R70" s="2">
        <v>122.1</v>
      </c>
      <c r="S70" s="2">
        <v>118.4</v>
      </c>
      <c r="T70" s="2">
        <v>121.6</v>
      </c>
      <c r="U70" s="2" t="s">
        <v>67</v>
      </c>
      <c r="V70" s="2">
        <v>115.5</v>
      </c>
      <c r="W70" s="2">
        <v>117.3</v>
      </c>
      <c r="X70" s="2">
        <v>114.8</v>
      </c>
      <c r="Y70" s="2">
        <v>110.8</v>
      </c>
      <c r="Z70" s="2">
        <v>113.7</v>
      </c>
      <c r="AA70" s="2">
        <v>119</v>
      </c>
      <c r="AB70" s="2">
        <v>109.1</v>
      </c>
      <c r="AC70" s="2">
        <v>113.8</v>
      </c>
      <c r="AD70" s="2">
        <v>120.1</v>
      </c>
    </row>
    <row r="71" spans="1:30" x14ac:dyDescent="0.35">
      <c r="A71" s="2" t="s">
        <v>30</v>
      </c>
      <c r="B71" s="2">
        <v>2014</v>
      </c>
      <c r="C71" s="2" t="s">
        <v>55</v>
      </c>
      <c r="D71" s="2">
        <v>122.4</v>
      </c>
      <c r="E71" s="2">
        <v>122.4</v>
      </c>
      <c r="F71" s="2">
        <v>121.8</v>
      </c>
      <c r="G71" s="2">
        <v>124.2</v>
      </c>
      <c r="H71" s="2">
        <v>110.2</v>
      </c>
      <c r="I71" s="2">
        <v>128.6</v>
      </c>
      <c r="J71" s="2">
        <v>140.30000000000001</v>
      </c>
      <c r="K71" s="2">
        <v>116.3</v>
      </c>
      <c r="L71" s="2">
        <v>102</v>
      </c>
      <c r="M71" s="2">
        <v>116</v>
      </c>
      <c r="N71" s="2">
        <v>117.3</v>
      </c>
      <c r="O71" s="2">
        <v>124.8</v>
      </c>
      <c r="P71" s="2">
        <v>123.3</v>
      </c>
      <c r="Q71" s="2">
        <v>121.7</v>
      </c>
      <c r="R71" s="2">
        <v>123.8</v>
      </c>
      <c r="S71" s="2">
        <v>120.6</v>
      </c>
      <c r="T71" s="2">
        <v>123.3</v>
      </c>
      <c r="U71" s="2" t="s">
        <v>32</v>
      </c>
      <c r="V71" s="2">
        <v>117.4</v>
      </c>
      <c r="W71" s="2">
        <v>118.2</v>
      </c>
      <c r="X71" s="2">
        <v>116.2</v>
      </c>
      <c r="Y71" s="2">
        <v>111.5</v>
      </c>
      <c r="Z71" s="2">
        <v>113.3</v>
      </c>
      <c r="AA71" s="2">
        <v>117.7</v>
      </c>
      <c r="AB71" s="2">
        <v>109.4</v>
      </c>
      <c r="AC71" s="2">
        <v>114.2</v>
      </c>
      <c r="AD71" s="2">
        <v>120.3</v>
      </c>
    </row>
    <row r="72" spans="1:30" x14ac:dyDescent="0.35">
      <c r="A72" s="2" t="s">
        <v>33</v>
      </c>
      <c r="B72" s="2">
        <v>2014</v>
      </c>
      <c r="C72" s="2" t="s">
        <v>55</v>
      </c>
      <c r="D72" s="2">
        <v>124</v>
      </c>
      <c r="E72" s="2">
        <v>124.7</v>
      </c>
      <c r="F72" s="2">
        <v>126.3</v>
      </c>
      <c r="G72" s="2">
        <v>124.9</v>
      </c>
      <c r="H72" s="2">
        <v>103</v>
      </c>
      <c r="I72" s="2">
        <v>122.3</v>
      </c>
      <c r="J72" s="2">
        <v>141</v>
      </c>
      <c r="K72" s="2">
        <v>120.1</v>
      </c>
      <c r="L72" s="2">
        <v>97.8</v>
      </c>
      <c r="M72" s="2">
        <v>125.4</v>
      </c>
      <c r="N72" s="2">
        <v>116.1</v>
      </c>
      <c r="O72" s="2">
        <v>127.6</v>
      </c>
      <c r="P72" s="2">
        <v>124</v>
      </c>
      <c r="Q72" s="2">
        <v>126.4</v>
      </c>
      <c r="R72" s="2">
        <v>120.7</v>
      </c>
      <c r="S72" s="2">
        <v>115.8</v>
      </c>
      <c r="T72" s="2">
        <v>120</v>
      </c>
      <c r="U72" s="2" t="s">
        <v>68</v>
      </c>
      <c r="V72" s="2">
        <v>113</v>
      </c>
      <c r="W72" s="2">
        <v>116.8</v>
      </c>
      <c r="X72" s="2">
        <v>113.2</v>
      </c>
      <c r="Y72" s="2">
        <v>108.8</v>
      </c>
      <c r="Z72" s="2">
        <v>114.3</v>
      </c>
      <c r="AA72" s="2">
        <v>120.7</v>
      </c>
      <c r="AB72" s="2">
        <v>110.4</v>
      </c>
      <c r="AC72" s="2">
        <v>113.4</v>
      </c>
      <c r="AD72" s="2">
        <v>118.4</v>
      </c>
    </row>
    <row r="73" spans="1:30" x14ac:dyDescent="0.35">
      <c r="A73" s="2" t="s">
        <v>35</v>
      </c>
      <c r="B73" s="2">
        <v>2014</v>
      </c>
      <c r="C73" s="2" t="s">
        <v>55</v>
      </c>
      <c r="D73" s="2">
        <v>122.9</v>
      </c>
      <c r="E73" s="2">
        <v>123.2</v>
      </c>
      <c r="F73" s="2">
        <v>123.5</v>
      </c>
      <c r="G73" s="2">
        <v>124.5</v>
      </c>
      <c r="H73" s="2">
        <v>107.6</v>
      </c>
      <c r="I73" s="2">
        <v>125.7</v>
      </c>
      <c r="J73" s="2">
        <v>140.5</v>
      </c>
      <c r="K73" s="2">
        <v>117.6</v>
      </c>
      <c r="L73" s="2">
        <v>100.6</v>
      </c>
      <c r="M73" s="2">
        <v>119.1</v>
      </c>
      <c r="N73" s="2">
        <v>116.8</v>
      </c>
      <c r="O73" s="2">
        <v>126.1</v>
      </c>
      <c r="P73" s="2">
        <v>123.6</v>
      </c>
      <c r="Q73" s="2">
        <v>123</v>
      </c>
      <c r="R73" s="2">
        <v>122.6</v>
      </c>
      <c r="S73" s="2">
        <v>118.6</v>
      </c>
      <c r="T73" s="2">
        <v>122</v>
      </c>
      <c r="U73" s="2" t="s">
        <v>68</v>
      </c>
      <c r="V73" s="2">
        <v>115.7</v>
      </c>
      <c r="W73" s="2">
        <v>117.5</v>
      </c>
      <c r="X73" s="2">
        <v>115.1</v>
      </c>
      <c r="Y73" s="2">
        <v>110.1</v>
      </c>
      <c r="Z73" s="2">
        <v>113.9</v>
      </c>
      <c r="AA73" s="2">
        <v>119.5</v>
      </c>
      <c r="AB73" s="2">
        <v>109.8</v>
      </c>
      <c r="AC73" s="2">
        <v>113.8</v>
      </c>
      <c r="AD73" s="2">
        <v>119.4</v>
      </c>
    </row>
    <row r="74" spans="1:30" x14ac:dyDescent="0.35">
      <c r="A74" s="2" t="s">
        <v>30</v>
      </c>
      <c r="B74" s="2">
        <v>2015</v>
      </c>
      <c r="C74" s="2" t="s">
        <v>31</v>
      </c>
      <c r="D74" s="2">
        <v>123.1</v>
      </c>
      <c r="E74" s="2">
        <v>123.1</v>
      </c>
      <c r="F74" s="2">
        <v>122.1</v>
      </c>
      <c r="G74" s="2">
        <v>124.9</v>
      </c>
      <c r="H74" s="2">
        <v>111</v>
      </c>
      <c r="I74" s="2">
        <v>130.4</v>
      </c>
      <c r="J74" s="2">
        <v>132.30000000000001</v>
      </c>
      <c r="K74" s="2">
        <v>117.2</v>
      </c>
      <c r="L74" s="2">
        <v>100.5</v>
      </c>
      <c r="M74" s="2">
        <v>117.2</v>
      </c>
      <c r="N74" s="2">
        <v>117.9</v>
      </c>
      <c r="O74" s="2">
        <v>125.6</v>
      </c>
      <c r="P74" s="2">
        <v>122.8</v>
      </c>
      <c r="Q74" s="2">
        <v>122.7</v>
      </c>
      <c r="R74" s="2">
        <v>124.4</v>
      </c>
      <c r="S74" s="2">
        <v>121.6</v>
      </c>
      <c r="T74" s="2">
        <v>124</v>
      </c>
      <c r="U74" s="2" t="s">
        <v>32</v>
      </c>
      <c r="V74" s="2">
        <v>118.4</v>
      </c>
      <c r="W74" s="2">
        <v>118.9</v>
      </c>
      <c r="X74" s="2">
        <v>116.6</v>
      </c>
      <c r="Y74" s="2">
        <v>111</v>
      </c>
      <c r="Z74" s="2">
        <v>114</v>
      </c>
      <c r="AA74" s="2">
        <v>118.2</v>
      </c>
      <c r="AB74" s="2">
        <v>110.2</v>
      </c>
      <c r="AC74" s="2">
        <v>114.5</v>
      </c>
      <c r="AD74" s="2">
        <v>120.3</v>
      </c>
    </row>
    <row r="75" spans="1:30" x14ac:dyDescent="0.35">
      <c r="A75" s="2" t="s">
        <v>33</v>
      </c>
      <c r="B75" s="2">
        <v>2015</v>
      </c>
      <c r="C75" s="2" t="s">
        <v>31</v>
      </c>
      <c r="D75" s="2">
        <v>124</v>
      </c>
      <c r="E75" s="2">
        <v>125.5</v>
      </c>
      <c r="F75" s="2">
        <v>126.6</v>
      </c>
      <c r="G75" s="2">
        <v>125.2</v>
      </c>
      <c r="H75" s="2">
        <v>104.3</v>
      </c>
      <c r="I75" s="2">
        <v>121.3</v>
      </c>
      <c r="J75" s="2">
        <v>134.4</v>
      </c>
      <c r="K75" s="2">
        <v>122.9</v>
      </c>
      <c r="L75" s="2">
        <v>96.1</v>
      </c>
      <c r="M75" s="2">
        <v>126.6</v>
      </c>
      <c r="N75" s="2">
        <v>116.5</v>
      </c>
      <c r="O75" s="2">
        <v>128</v>
      </c>
      <c r="P75" s="2">
        <v>123.5</v>
      </c>
      <c r="Q75" s="2">
        <v>127.4</v>
      </c>
      <c r="R75" s="2">
        <v>121</v>
      </c>
      <c r="S75" s="2">
        <v>116.1</v>
      </c>
      <c r="T75" s="2">
        <v>120.2</v>
      </c>
      <c r="U75" s="2" t="s">
        <v>69</v>
      </c>
      <c r="V75" s="2">
        <v>113.4</v>
      </c>
      <c r="W75" s="2">
        <v>117.2</v>
      </c>
      <c r="X75" s="2">
        <v>113.7</v>
      </c>
      <c r="Y75" s="2">
        <v>107.9</v>
      </c>
      <c r="Z75" s="2">
        <v>114.6</v>
      </c>
      <c r="AA75" s="2">
        <v>120.8</v>
      </c>
      <c r="AB75" s="2">
        <v>111.4</v>
      </c>
      <c r="AC75" s="2">
        <v>113.4</v>
      </c>
      <c r="AD75" s="2">
        <v>118.5</v>
      </c>
    </row>
    <row r="76" spans="1:30" x14ac:dyDescent="0.35">
      <c r="A76" s="2" t="s">
        <v>35</v>
      </c>
      <c r="B76" s="2">
        <v>2015</v>
      </c>
      <c r="C76" s="2" t="s">
        <v>31</v>
      </c>
      <c r="D76" s="2">
        <v>123.4</v>
      </c>
      <c r="E76" s="2">
        <v>123.9</v>
      </c>
      <c r="F76" s="2">
        <v>123.8</v>
      </c>
      <c r="G76" s="2">
        <v>125</v>
      </c>
      <c r="H76" s="2">
        <v>108.5</v>
      </c>
      <c r="I76" s="2">
        <v>126.2</v>
      </c>
      <c r="J76" s="2">
        <v>133</v>
      </c>
      <c r="K76" s="2">
        <v>119.1</v>
      </c>
      <c r="L76" s="2">
        <v>99</v>
      </c>
      <c r="M76" s="2">
        <v>120.3</v>
      </c>
      <c r="N76" s="2">
        <v>117.3</v>
      </c>
      <c r="O76" s="2">
        <v>126.7</v>
      </c>
      <c r="P76" s="2">
        <v>123.1</v>
      </c>
      <c r="Q76" s="2">
        <v>124</v>
      </c>
      <c r="R76" s="2">
        <v>123.1</v>
      </c>
      <c r="S76" s="2">
        <v>119.3</v>
      </c>
      <c r="T76" s="2">
        <v>122.5</v>
      </c>
      <c r="U76" s="2" t="s">
        <v>69</v>
      </c>
      <c r="V76" s="2">
        <v>116.5</v>
      </c>
      <c r="W76" s="2">
        <v>118.1</v>
      </c>
      <c r="X76" s="2">
        <v>115.5</v>
      </c>
      <c r="Y76" s="2">
        <v>109.4</v>
      </c>
      <c r="Z76" s="2">
        <v>114.3</v>
      </c>
      <c r="AA76" s="2">
        <v>119.7</v>
      </c>
      <c r="AB76" s="2">
        <v>110.7</v>
      </c>
      <c r="AC76" s="2">
        <v>114</v>
      </c>
      <c r="AD76" s="2">
        <v>119.5</v>
      </c>
    </row>
    <row r="77" spans="1:30" x14ac:dyDescent="0.35">
      <c r="A77" s="2" t="s">
        <v>30</v>
      </c>
      <c r="B77" s="2">
        <v>2015</v>
      </c>
      <c r="C77" s="2" t="s">
        <v>36</v>
      </c>
      <c r="D77" s="2">
        <v>123.4</v>
      </c>
      <c r="E77" s="2">
        <v>124.4</v>
      </c>
      <c r="F77" s="2">
        <v>122.1</v>
      </c>
      <c r="G77" s="2">
        <v>125.8</v>
      </c>
      <c r="H77" s="2">
        <v>111.5</v>
      </c>
      <c r="I77" s="2">
        <v>129.4</v>
      </c>
      <c r="J77" s="2">
        <v>128.19999999999999</v>
      </c>
      <c r="K77" s="2">
        <v>118.8</v>
      </c>
      <c r="L77" s="2">
        <v>100</v>
      </c>
      <c r="M77" s="2">
        <v>118.6</v>
      </c>
      <c r="N77" s="2">
        <v>118.8</v>
      </c>
      <c r="O77" s="2">
        <v>126.8</v>
      </c>
      <c r="P77" s="2">
        <v>122.8</v>
      </c>
      <c r="Q77" s="2">
        <v>124.2</v>
      </c>
      <c r="R77" s="2">
        <v>125.4</v>
      </c>
      <c r="S77" s="2">
        <v>122.7</v>
      </c>
      <c r="T77" s="2">
        <v>125</v>
      </c>
      <c r="U77" s="2" t="s">
        <v>32</v>
      </c>
      <c r="V77" s="2">
        <v>120</v>
      </c>
      <c r="W77" s="2">
        <v>119.6</v>
      </c>
      <c r="X77" s="2">
        <v>117.7</v>
      </c>
      <c r="Y77" s="2">
        <v>110.9</v>
      </c>
      <c r="Z77" s="2">
        <v>114.8</v>
      </c>
      <c r="AA77" s="2">
        <v>118.7</v>
      </c>
      <c r="AB77" s="2">
        <v>110.8</v>
      </c>
      <c r="AC77" s="2">
        <v>115</v>
      </c>
      <c r="AD77" s="2">
        <v>120.6</v>
      </c>
    </row>
    <row r="78" spans="1:30" x14ac:dyDescent="0.35">
      <c r="A78" s="2" t="s">
        <v>33</v>
      </c>
      <c r="B78" s="2">
        <v>2015</v>
      </c>
      <c r="C78" s="2" t="s">
        <v>36</v>
      </c>
      <c r="D78" s="2">
        <v>124.3</v>
      </c>
      <c r="E78" s="2">
        <v>126.5</v>
      </c>
      <c r="F78" s="2">
        <v>119.5</v>
      </c>
      <c r="G78" s="2">
        <v>125.6</v>
      </c>
      <c r="H78" s="2">
        <v>104.9</v>
      </c>
      <c r="I78" s="2">
        <v>121.6</v>
      </c>
      <c r="J78" s="2">
        <v>131.80000000000001</v>
      </c>
      <c r="K78" s="2">
        <v>125.1</v>
      </c>
      <c r="L78" s="2">
        <v>95</v>
      </c>
      <c r="M78" s="2">
        <v>127.7</v>
      </c>
      <c r="N78" s="2">
        <v>116.8</v>
      </c>
      <c r="O78" s="2">
        <v>128.6</v>
      </c>
      <c r="P78" s="2">
        <v>123.7</v>
      </c>
      <c r="Q78" s="2">
        <v>128.1</v>
      </c>
      <c r="R78" s="2">
        <v>121.3</v>
      </c>
      <c r="S78" s="2">
        <v>116.5</v>
      </c>
      <c r="T78" s="2">
        <v>120.6</v>
      </c>
      <c r="U78" s="2" t="s">
        <v>70</v>
      </c>
      <c r="V78" s="2">
        <v>114</v>
      </c>
      <c r="W78" s="2">
        <v>117.7</v>
      </c>
      <c r="X78" s="2">
        <v>114.1</v>
      </c>
      <c r="Y78" s="2">
        <v>106.8</v>
      </c>
      <c r="Z78" s="2">
        <v>114.9</v>
      </c>
      <c r="AA78" s="2">
        <v>120.4</v>
      </c>
      <c r="AB78" s="2">
        <v>111.7</v>
      </c>
      <c r="AC78" s="2">
        <v>113.2</v>
      </c>
      <c r="AD78" s="2">
        <v>118.7</v>
      </c>
    </row>
    <row r="79" spans="1:30" x14ac:dyDescent="0.35">
      <c r="A79" s="2" t="s">
        <v>35</v>
      </c>
      <c r="B79" s="2">
        <v>2015</v>
      </c>
      <c r="C79" s="2" t="s">
        <v>36</v>
      </c>
      <c r="D79" s="2">
        <v>123.7</v>
      </c>
      <c r="E79" s="2">
        <v>125.1</v>
      </c>
      <c r="F79" s="2">
        <v>121.1</v>
      </c>
      <c r="G79" s="2">
        <v>125.7</v>
      </c>
      <c r="H79" s="2">
        <v>109.1</v>
      </c>
      <c r="I79" s="2">
        <v>125.8</v>
      </c>
      <c r="J79" s="2">
        <v>129.4</v>
      </c>
      <c r="K79" s="2">
        <v>120.9</v>
      </c>
      <c r="L79" s="2">
        <v>98.3</v>
      </c>
      <c r="M79" s="2">
        <v>121.6</v>
      </c>
      <c r="N79" s="2">
        <v>118</v>
      </c>
      <c r="O79" s="2">
        <v>127.6</v>
      </c>
      <c r="P79" s="2">
        <v>123.1</v>
      </c>
      <c r="Q79" s="2">
        <v>125.2</v>
      </c>
      <c r="R79" s="2">
        <v>123.8</v>
      </c>
      <c r="S79" s="2">
        <v>120.1</v>
      </c>
      <c r="T79" s="2">
        <v>123.3</v>
      </c>
      <c r="U79" s="2" t="s">
        <v>70</v>
      </c>
      <c r="V79" s="2">
        <v>117.7</v>
      </c>
      <c r="W79" s="2">
        <v>118.7</v>
      </c>
      <c r="X79" s="2">
        <v>116.3</v>
      </c>
      <c r="Y79" s="2">
        <v>108.7</v>
      </c>
      <c r="Z79" s="2">
        <v>114.9</v>
      </c>
      <c r="AA79" s="2">
        <v>119.7</v>
      </c>
      <c r="AB79" s="2">
        <v>111.2</v>
      </c>
      <c r="AC79" s="2">
        <v>114.1</v>
      </c>
      <c r="AD79" s="2">
        <v>119.7</v>
      </c>
    </row>
    <row r="80" spans="1:30" x14ac:dyDescent="0.35">
      <c r="A80" s="2" t="s">
        <v>30</v>
      </c>
      <c r="B80" s="2">
        <v>2015</v>
      </c>
      <c r="C80" s="2" t="s">
        <v>38</v>
      </c>
      <c r="D80" s="2">
        <v>123.3</v>
      </c>
      <c r="E80" s="2">
        <v>124.7</v>
      </c>
      <c r="F80" s="2">
        <v>118.9</v>
      </c>
      <c r="G80" s="2">
        <v>126</v>
      </c>
      <c r="H80" s="2">
        <v>111.8</v>
      </c>
      <c r="I80" s="2">
        <v>130.9</v>
      </c>
      <c r="J80" s="2">
        <v>128</v>
      </c>
      <c r="K80" s="2">
        <v>119.9</v>
      </c>
      <c r="L80" s="2">
        <v>98.9</v>
      </c>
      <c r="M80" s="2">
        <v>119.4</v>
      </c>
      <c r="N80" s="2">
        <v>118.9</v>
      </c>
      <c r="O80" s="2">
        <v>127.7</v>
      </c>
      <c r="P80" s="2">
        <v>123.1</v>
      </c>
      <c r="Q80" s="2">
        <v>124.7</v>
      </c>
      <c r="R80" s="2">
        <v>126</v>
      </c>
      <c r="S80" s="2">
        <v>122.9</v>
      </c>
      <c r="T80" s="2">
        <v>125.5</v>
      </c>
      <c r="U80" s="2" t="s">
        <v>32</v>
      </c>
      <c r="V80" s="2">
        <v>120.6</v>
      </c>
      <c r="W80" s="2">
        <v>120.2</v>
      </c>
      <c r="X80" s="2">
        <v>118.2</v>
      </c>
      <c r="Y80" s="2">
        <v>111.6</v>
      </c>
      <c r="Z80" s="2">
        <v>115.5</v>
      </c>
      <c r="AA80" s="2">
        <v>119.4</v>
      </c>
      <c r="AB80" s="2">
        <v>110.8</v>
      </c>
      <c r="AC80" s="2">
        <v>115.5</v>
      </c>
      <c r="AD80" s="2">
        <v>121.1</v>
      </c>
    </row>
    <row r="81" spans="1:30" x14ac:dyDescent="0.35">
      <c r="A81" s="2" t="s">
        <v>33</v>
      </c>
      <c r="B81" s="2">
        <v>2015</v>
      </c>
      <c r="C81" s="2" t="s">
        <v>38</v>
      </c>
      <c r="D81" s="2">
        <v>124</v>
      </c>
      <c r="E81" s="2">
        <v>126.7</v>
      </c>
      <c r="F81" s="2">
        <v>113.5</v>
      </c>
      <c r="G81" s="2">
        <v>125.9</v>
      </c>
      <c r="H81" s="2">
        <v>104.8</v>
      </c>
      <c r="I81" s="2">
        <v>123.8</v>
      </c>
      <c r="J81" s="2">
        <v>131.4</v>
      </c>
      <c r="K81" s="2">
        <v>127.2</v>
      </c>
      <c r="L81" s="2">
        <v>93.2</v>
      </c>
      <c r="M81" s="2">
        <v>127.4</v>
      </c>
      <c r="N81" s="2">
        <v>117</v>
      </c>
      <c r="O81" s="2">
        <v>129.19999999999999</v>
      </c>
      <c r="P81" s="2">
        <v>123.9</v>
      </c>
      <c r="Q81" s="2">
        <v>128.80000000000001</v>
      </c>
      <c r="R81" s="2">
        <v>121.7</v>
      </c>
      <c r="S81" s="2">
        <v>116.9</v>
      </c>
      <c r="T81" s="2">
        <v>120.9</v>
      </c>
      <c r="U81" s="2" t="s">
        <v>71</v>
      </c>
      <c r="V81" s="2">
        <v>114.4</v>
      </c>
      <c r="W81" s="2">
        <v>118</v>
      </c>
      <c r="X81" s="2">
        <v>114.3</v>
      </c>
      <c r="Y81" s="2">
        <v>108.4</v>
      </c>
      <c r="Z81" s="2">
        <v>115.4</v>
      </c>
      <c r="AA81" s="2">
        <v>120.6</v>
      </c>
      <c r="AB81" s="2">
        <v>111.3</v>
      </c>
      <c r="AC81" s="2">
        <v>113.8</v>
      </c>
      <c r="AD81" s="2">
        <v>119.1</v>
      </c>
    </row>
    <row r="82" spans="1:30" x14ac:dyDescent="0.35">
      <c r="A82" s="2" t="s">
        <v>35</v>
      </c>
      <c r="B82" s="2">
        <v>2015</v>
      </c>
      <c r="C82" s="2" t="s">
        <v>38</v>
      </c>
      <c r="D82" s="2">
        <v>123.5</v>
      </c>
      <c r="E82" s="2">
        <v>125.4</v>
      </c>
      <c r="F82" s="2">
        <v>116.8</v>
      </c>
      <c r="G82" s="2">
        <v>126</v>
      </c>
      <c r="H82" s="2">
        <v>109.2</v>
      </c>
      <c r="I82" s="2">
        <v>127.6</v>
      </c>
      <c r="J82" s="2">
        <v>129.19999999999999</v>
      </c>
      <c r="K82" s="2">
        <v>122.4</v>
      </c>
      <c r="L82" s="2">
        <v>97</v>
      </c>
      <c r="M82" s="2">
        <v>122.1</v>
      </c>
      <c r="N82" s="2">
        <v>118.1</v>
      </c>
      <c r="O82" s="2">
        <v>128.4</v>
      </c>
      <c r="P82" s="2">
        <v>123.4</v>
      </c>
      <c r="Q82" s="2">
        <v>125.8</v>
      </c>
      <c r="R82" s="2">
        <v>124.3</v>
      </c>
      <c r="S82" s="2">
        <v>120.4</v>
      </c>
      <c r="T82" s="2">
        <v>123.7</v>
      </c>
      <c r="U82" s="2" t="s">
        <v>71</v>
      </c>
      <c r="V82" s="2">
        <v>118.3</v>
      </c>
      <c r="W82" s="2">
        <v>119.2</v>
      </c>
      <c r="X82" s="2">
        <v>116.7</v>
      </c>
      <c r="Y82" s="2">
        <v>109.9</v>
      </c>
      <c r="Z82" s="2">
        <v>115.4</v>
      </c>
      <c r="AA82" s="2">
        <v>120.1</v>
      </c>
      <c r="AB82" s="2">
        <v>111</v>
      </c>
      <c r="AC82" s="2">
        <v>114.7</v>
      </c>
      <c r="AD82" s="2">
        <v>120.2</v>
      </c>
    </row>
    <row r="83" spans="1:30" x14ac:dyDescent="0.35">
      <c r="A83" s="2" t="s">
        <v>30</v>
      </c>
      <c r="B83" s="2">
        <v>2015</v>
      </c>
      <c r="C83" s="2" t="s">
        <v>39</v>
      </c>
      <c r="D83" s="2">
        <v>123.3</v>
      </c>
      <c r="E83" s="2">
        <v>125.5</v>
      </c>
      <c r="F83" s="2">
        <v>117.2</v>
      </c>
      <c r="G83" s="2">
        <v>126.8</v>
      </c>
      <c r="H83" s="2">
        <v>111.9</v>
      </c>
      <c r="I83" s="2">
        <v>134.19999999999999</v>
      </c>
      <c r="J83" s="2">
        <v>127.5</v>
      </c>
      <c r="K83" s="2">
        <v>121.5</v>
      </c>
      <c r="L83" s="2">
        <v>97.8</v>
      </c>
      <c r="M83" s="2">
        <v>119.8</v>
      </c>
      <c r="N83" s="2">
        <v>119.4</v>
      </c>
      <c r="O83" s="2">
        <v>128.69999999999999</v>
      </c>
      <c r="P83" s="2">
        <v>123.6</v>
      </c>
      <c r="Q83" s="2">
        <v>125.7</v>
      </c>
      <c r="R83" s="2">
        <v>126.4</v>
      </c>
      <c r="S83" s="2">
        <v>123.3</v>
      </c>
      <c r="T83" s="2">
        <v>126</v>
      </c>
      <c r="U83" s="2" t="s">
        <v>32</v>
      </c>
      <c r="V83" s="2">
        <v>121.2</v>
      </c>
      <c r="W83" s="2">
        <v>120.9</v>
      </c>
      <c r="X83" s="2">
        <v>118.6</v>
      </c>
      <c r="Y83" s="2">
        <v>111.9</v>
      </c>
      <c r="Z83" s="2">
        <v>116.2</v>
      </c>
      <c r="AA83" s="2">
        <v>119.9</v>
      </c>
      <c r="AB83" s="2">
        <v>111.6</v>
      </c>
      <c r="AC83" s="2">
        <v>116</v>
      </c>
      <c r="AD83" s="2">
        <v>121.5</v>
      </c>
    </row>
    <row r="84" spans="1:30" x14ac:dyDescent="0.35">
      <c r="A84" s="2" t="s">
        <v>33</v>
      </c>
      <c r="B84" s="2">
        <v>2015</v>
      </c>
      <c r="C84" s="2" t="s">
        <v>39</v>
      </c>
      <c r="D84" s="2">
        <v>123.8</v>
      </c>
      <c r="E84" s="2">
        <v>128.19999999999999</v>
      </c>
      <c r="F84" s="2">
        <v>110</v>
      </c>
      <c r="G84" s="2">
        <v>126.3</v>
      </c>
      <c r="H84" s="2">
        <v>104.5</v>
      </c>
      <c r="I84" s="2">
        <v>130.6</v>
      </c>
      <c r="J84" s="2">
        <v>130.80000000000001</v>
      </c>
      <c r="K84" s="2">
        <v>131.30000000000001</v>
      </c>
      <c r="L84" s="2">
        <v>91.6</v>
      </c>
      <c r="M84" s="2">
        <v>127.7</v>
      </c>
      <c r="N84" s="2">
        <v>117.2</v>
      </c>
      <c r="O84" s="2">
        <v>129.5</v>
      </c>
      <c r="P84" s="2">
        <v>124.6</v>
      </c>
      <c r="Q84" s="2">
        <v>130.1</v>
      </c>
      <c r="R84" s="2">
        <v>122.1</v>
      </c>
      <c r="S84" s="2">
        <v>117.2</v>
      </c>
      <c r="T84" s="2">
        <v>121.3</v>
      </c>
      <c r="U84" s="2" t="s">
        <v>72</v>
      </c>
      <c r="V84" s="2">
        <v>114.7</v>
      </c>
      <c r="W84" s="2">
        <v>118.4</v>
      </c>
      <c r="X84" s="2">
        <v>114.6</v>
      </c>
      <c r="Y84" s="2">
        <v>108.4</v>
      </c>
      <c r="Z84" s="2">
        <v>115.6</v>
      </c>
      <c r="AA84" s="2">
        <v>121.7</v>
      </c>
      <c r="AB84" s="2">
        <v>111.8</v>
      </c>
      <c r="AC84" s="2">
        <v>114.2</v>
      </c>
      <c r="AD84" s="2">
        <v>119.7</v>
      </c>
    </row>
    <row r="85" spans="1:30" x14ac:dyDescent="0.35">
      <c r="A85" s="2" t="s">
        <v>35</v>
      </c>
      <c r="B85" s="2">
        <v>2015</v>
      </c>
      <c r="C85" s="2" t="s">
        <v>39</v>
      </c>
      <c r="D85" s="2">
        <v>123.5</v>
      </c>
      <c r="E85" s="2">
        <v>126.4</v>
      </c>
      <c r="F85" s="2">
        <v>114.4</v>
      </c>
      <c r="G85" s="2">
        <v>126.6</v>
      </c>
      <c r="H85" s="2">
        <v>109.2</v>
      </c>
      <c r="I85" s="2">
        <v>132.5</v>
      </c>
      <c r="J85" s="2">
        <v>128.6</v>
      </c>
      <c r="K85" s="2">
        <v>124.8</v>
      </c>
      <c r="L85" s="2">
        <v>95.7</v>
      </c>
      <c r="M85" s="2">
        <v>122.4</v>
      </c>
      <c r="N85" s="2">
        <v>118.5</v>
      </c>
      <c r="O85" s="2">
        <v>129.1</v>
      </c>
      <c r="P85" s="2">
        <v>124</v>
      </c>
      <c r="Q85" s="2">
        <v>126.9</v>
      </c>
      <c r="R85" s="2">
        <v>124.7</v>
      </c>
      <c r="S85" s="2">
        <v>120.8</v>
      </c>
      <c r="T85" s="2">
        <v>124.1</v>
      </c>
      <c r="U85" s="2" t="s">
        <v>72</v>
      </c>
      <c r="V85" s="2">
        <v>118.7</v>
      </c>
      <c r="W85" s="2">
        <v>119.7</v>
      </c>
      <c r="X85" s="2">
        <v>117.1</v>
      </c>
      <c r="Y85" s="2">
        <v>110.1</v>
      </c>
      <c r="Z85" s="2">
        <v>115.9</v>
      </c>
      <c r="AA85" s="2">
        <v>121</v>
      </c>
      <c r="AB85" s="2">
        <v>111.7</v>
      </c>
      <c r="AC85" s="2">
        <v>115.1</v>
      </c>
      <c r="AD85" s="2">
        <v>120.7</v>
      </c>
    </row>
    <row r="86" spans="1:30" x14ac:dyDescent="0.35">
      <c r="A86" s="2" t="s">
        <v>30</v>
      </c>
      <c r="B86" s="2">
        <v>2015</v>
      </c>
      <c r="C86" s="2" t="s">
        <v>41</v>
      </c>
      <c r="D86" s="2">
        <v>123.5</v>
      </c>
      <c r="E86" s="2">
        <v>127.1</v>
      </c>
      <c r="F86" s="2">
        <v>117.3</v>
      </c>
      <c r="G86" s="2">
        <v>127.7</v>
      </c>
      <c r="H86" s="2">
        <v>112.5</v>
      </c>
      <c r="I86" s="2">
        <v>134.1</v>
      </c>
      <c r="J86" s="2">
        <v>128.5</v>
      </c>
      <c r="K86" s="2">
        <v>124.3</v>
      </c>
      <c r="L86" s="2">
        <v>97.6</v>
      </c>
      <c r="M86" s="2">
        <v>120.7</v>
      </c>
      <c r="N86" s="2">
        <v>120.2</v>
      </c>
      <c r="O86" s="2">
        <v>129.80000000000001</v>
      </c>
      <c r="P86" s="2">
        <v>124.4</v>
      </c>
      <c r="Q86" s="2">
        <v>126.7</v>
      </c>
      <c r="R86" s="2">
        <v>127.3</v>
      </c>
      <c r="S86" s="2">
        <v>124.1</v>
      </c>
      <c r="T86" s="2">
        <v>126.8</v>
      </c>
      <c r="U86" s="2" t="s">
        <v>32</v>
      </c>
      <c r="V86" s="2">
        <v>121.9</v>
      </c>
      <c r="W86" s="2">
        <v>121.5</v>
      </c>
      <c r="X86" s="2">
        <v>119.4</v>
      </c>
      <c r="Y86" s="2">
        <v>113.3</v>
      </c>
      <c r="Z86" s="2">
        <v>116.7</v>
      </c>
      <c r="AA86" s="2">
        <v>120.5</v>
      </c>
      <c r="AB86" s="2">
        <v>112.3</v>
      </c>
      <c r="AC86" s="2">
        <v>116.9</v>
      </c>
      <c r="AD86" s="2">
        <v>122.4</v>
      </c>
    </row>
    <row r="87" spans="1:30" x14ac:dyDescent="0.35">
      <c r="A87" s="2" t="s">
        <v>33</v>
      </c>
      <c r="B87" s="2">
        <v>2015</v>
      </c>
      <c r="C87" s="2" t="s">
        <v>41</v>
      </c>
      <c r="D87" s="2">
        <v>123.8</v>
      </c>
      <c r="E87" s="2">
        <v>129.69999999999999</v>
      </c>
      <c r="F87" s="2">
        <v>111.3</v>
      </c>
      <c r="G87" s="2">
        <v>126.6</v>
      </c>
      <c r="H87" s="2">
        <v>105.2</v>
      </c>
      <c r="I87" s="2">
        <v>130.80000000000001</v>
      </c>
      <c r="J87" s="2">
        <v>135.6</v>
      </c>
      <c r="K87" s="2">
        <v>142.6</v>
      </c>
      <c r="L87" s="2">
        <v>90.8</v>
      </c>
      <c r="M87" s="2">
        <v>128.80000000000001</v>
      </c>
      <c r="N87" s="2">
        <v>117.7</v>
      </c>
      <c r="O87" s="2">
        <v>129.9</v>
      </c>
      <c r="P87" s="2">
        <v>126.1</v>
      </c>
      <c r="Q87" s="2">
        <v>131.30000000000001</v>
      </c>
      <c r="R87" s="2">
        <v>122.4</v>
      </c>
      <c r="S87" s="2">
        <v>117.4</v>
      </c>
      <c r="T87" s="2">
        <v>121.6</v>
      </c>
      <c r="U87" s="2" t="s">
        <v>73</v>
      </c>
      <c r="V87" s="2">
        <v>114.9</v>
      </c>
      <c r="W87" s="2">
        <v>118.7</v>
      </c>
      <c r="X87" s="2">
        <v>114.9</v>
      </c>
      <c r="Y87" s="2">
        <v>110.8</v>
      </c>
      <c r="Z87" s="2">
        <v>116</v>
      </c>
      <c r="AA87" s="2">
        <v>122</v>
      </c>
      <c r="AB87" s="2">
        <v>112.4</v>
      </c>
      <c r="AC87" s="2">
        <v>115.2</v>
      </c>
      <c r="AD87" s="2">
        <v>120.7</v>
      </c>
    </row>
    <row r="88" spans="1:30" x14ac:dyDescent="0.35">
      <c r="A88" s="2" t="s">
        <v>35</v>
      </c>
      <c r="B88" s="2">
        <v>2015</v>
      </c>
      <c r="C88" s="2" t="s">
        <v>41</v>
      </c>
      <c r="D88" s="2">
        <v>123.6</v>
      </c>
      <c r="E88" s="2">
        <v>128</v>
      </c>
      <c r="F88" s="2">
        <v>115</v>
      </c>
      <c r="G88" s="2">
        <v>127.3</v>
      </c>
      <c r="H88" s="2">
        <v>109.8</v>
      </c>
      <c r="I88" s="2">
        <v>132.6</v>
      </c>
      <c r="J88" s="2">
        <v>130.9</v>
      </c>
      <c r="K88" s="2">
        <v>130.5</v>
      </c>
      <c r="L88" s="2">
        <v>95.3</v>
      </c>
      <c r="M88" s="2">
        <v>123.4</v>
      </c>
      <c r="N88" s="2">
        <v>119.2</v>
      </c>
      <c r="O88" s="2">
        <v>129.80000000000001</v>
      </c>
      <c r="P88" s="2">
        <v>125</v>
      </c>
      <c r="Q88" s="2">
        <v>127.9</v>
      </c>
      <c r="R88" s="2">
        <v>125.4</v>
      </c>
      <c r="S88" s="2">
        <v>121.3</v>
      </c>
      <c r="T88" s="2">
        <v>124.7</v>
      </c>
      <c r="U88" s="2" t="s">
        <v>73</v>
      </c>
      <c r="V88" s="2">
        <v>119.2</v>
      </c>
      <c r="W88" s="2">
        <v>120.2</v>
      </c>
      <c r="X88" s="2">
        <v>117.7</v>
      </c>
      <c r="Y88" s="2">
        <v>112</v>
      </c>
      <c r="Z88" s="2">
        <v>116.3</v>
      </c>
      <c r="AA88" s="2">
        <v>121.4</v>
      </c>
      <c r="AB88" s="2">
        <v>112.3</v>
      </c>
      <c r="AC88" s="2">
        <v>116.1</v>
      </c>
      <c r="AD88" s="2">
        <v>121.6</v>
      </c>
    </row>
    <row r="89" spans="1:30" x14ac:dyDescent="0.35">
      <c r="A89" s="2" t="s">
        <v>30</v>
      </c>
      <c r="B89" s="2">
        <v>2015</v>
      </c>
      <c r="C89" s="2" t="s">
        <v>42</v>
      </c>
      <c r="D89" s="2">
        <v>124.1</v>
      </c>
      <c r="E89" s="2">
        <v>130.4</v>
      </c>
      <c r="F89" s="2">
        <v>122.1</v>
      </c>
      <c r="G89" s="2">
        <v>128.69999999999999</v>
      </c>
      <c r="H89" s="2">
        <v>114.1</v>
      </c>
      <c r="I89" s="2">
        <v>133.19999999999999</v>
      </c>
      <c r="J89" s="2">
        <v>135.19999999999999</v>
      </c>
      <c r="K89" s="2">
        <v>131.9</v>
      </c>
      <c r="L89" s="2">
        <v>96.3</v>
      </c>
      <c r="M89" s="2">
        <v>123</v>
      </c>
      <c r="N89" s="2">
        <v>121.1</v>
      </c>
      <c r="O89" s="2">
        <v>131.19999999999999</v>
      </c>
      <c r="P89" s="2">
        <v>126.6</v>
      </c>
      <c r="Q89" s="2">
        <v>128.19999999999999</v>
      </c>
      <c r="R89" s="2">
        <v>128.4</v>
      </c>
      <c r="S89" s="2">
        <v>125.1</v>
      </c>
      <c r="T89" s="2">
        <v>128</v>
      </c>
      <c r="U89" s="2" t="s">
        <v>32</v>
      </c>
      <c r="V89" s="2">
        <v>122.6</v>
      </c>
      <c r="W89" s="2">
        <v>122.8</v>
      </c>
      <c r="X89" s="2">
        <v>120.4</v>
      </c>
      <c r="Y89" s="2">
        <v>114.2</v>
      </c>
      <c r="Z89" s="2">
        <v>117.9</v>
      </c>
      <c r="AA89" s="2">
        <v>122</v>
      </c>
      <c r="AB89" s="2">
        <v>113</v>
      </c>
      <c r="AC89" s="2">
        <v>117.9</v>
      </c>
      <c r="AD89" s="2">
        <v>124.1</v>
      </c>
    </row>
    <row r="90" spans="1:30" x14ac:dyDescent="0.35">
      <c r="A90" s="2" t="s">
        <v>33</v>
      </c>
      <c r="B90" s="2">
        <v>2015</v>
      </c>
      <c r="C90" s="2" t="s">
        <v>42</v>
      </c>
      <c r="D90" s="2">
        <v>123.6</v>
      </c>
      <c r="E90" s="2">
        <v>134.4</v>
      </c>
      <c r="F90" s="2">
        <v>120.9</v>
      </c>
      <c r="G90" s="2">
        <v>127.3</v>
      </c>
      <c r="H90" s="2">
        <v>106</v>
      </c>
      <c r="I90" s="2">
        <v>132.30000000000001</v>
      </c>
      <c r="J90" s="2">
        <v>146.69999999999999</v>
      </c>
      <c r="K90" s="2">
        <v>148.1</v>
      </c>
      <c r="L90" s="2">
        <v>89.8</v>
      </c>
      <c r="M90" s="2">
        <v>130.5</v>
      </c>
      <c r="N90" s="2">
        <v>118</v>
      </c>
      <c r="O90" s="2">
        <v>130.5</v>
      </c>
      <c r="P90" s="2">
        <v>128.5</v>
      </c>
      <c r="Q90" s="2">
        <v>132.1</v>
      </c>
      <c r="R90" s="2">
        <v>123.2</v>
      </c>
      <c r="S90" s="2">
        <v>117.6</v>
      </c>
      <c r="T90" s="2">
        <v>122.3</v>
      </c>
      <c r="U90" s="2" t="s">
        <v>74</v>
      </c>
      <c r="V90" s="2">
        <v>115.1</v>
      </c>
      <c r="W90" s="2">
        <v>119.2</v>
      </c>
      <c r="X90" s="2">
        <v>115.4</v>
      </c>
      <c r="Y90" s="2">
        <v>111.7</v>
      </c>
      <c r="Z90" s="2">
        <v>116.2</v>
      </c>
      <c r="AA90" s="2">
        <v>123.8</v>
      </c>
      <c r="AB90" s="2">
        <v>112.5</v>
      </c>
      <c r="AC90" s="2">
        <v>116</v>
      </c>
      <c r="AD90" s="2">
        <v>121.7</v>
      </c>
    </row>
    <row r="91" spans="1:30" x14ac:dyDescent="0.35">
      <c r="A91" s="2" t="s">
        <v>35</v>
      </c>
      <c r="B91" s="2">
        <v>2015</v>
      </c>
      <c r="C91" s="2" t="s">
        <v>42</v>
      </c>
      <c r="D91" s="2">
        <v>123.9</v>
      </c>
      <c r="E91" s="2">
        <v>131.80000000000001</v>
      </c>
      <c r="F91" s="2">
        <v>121.6</v>
      </c>
      <c r="G91" s="2">
        <v>128.19999999999999</v>
      </c>
      <c r="H91" s="2">
        <v>111.1</v>
      </c>
      <c r="I91" s="2">
        <v>132.80000000000001</v>
      </c>
      <c r="J91" s="2">
        <v>139.1</v>
      </c>
      <c r="K91" s="2">
        <v>137.4</v>
      </c>
      <c r="L91" s="2">
        <v>94.1</v>
      </c>
      <c r="M91" s="2">
        <v>125.5</v>
      </c>
      <c r="N91" s="2">
        <v>119.8</v>
      </c>
      <c r="O91" s="2">
        <v>130.9</v>
      </c>
      <c r="P91" s="2">
        <v>127.3</v>
      </c>
      <c r="Q91" s="2">
        <v>129.19999999999999</v>
      </c>
      <c r="R91" s="2">
        <v>126.4</v>
      </c>
      <c r="S91" s="2">
        <v>122</v>
      </c>
      <c r="T91" s="2">
        <v>125.7</v>
      </c>
      <c r="U91" s="2" t="s">
        <v>74</v>
      </c>
      <c r="V91" s="2">
        <v>119.8</v>
      </c>
      <c r="W91" s="2">
        <v>121.1</v>
      </c>
      <c r="X91" s="2">
        <v>118.5</v>
      </c>
      <c r="Y91" s="2">
        <v>112.9</v>
      </c>
      <c r="Z91" s="2">
        <v>116.9</v>
      </c>
      <c r="AA91" s="2">
        <v>123.1</v>
      </c>
      <c r="AB91" s="2">
        <v>112.8</v>
      </c>
      <c r="AC91" s="2">
        <v>117</v>
      </c>
      <c r="AD91" s="2">
        <v>123</v>
      </c>
    </row>
    <row r="92" spans="1:30" x14ac:dyDescent="0.35">
      <c r="A92" s="2" t="s">
        <v>30</v>
      </c>
      <c r="B92" s="2">
        <v>2015</v>
      </c>
      <c r="C92" s="2" t="s">
        <v>44</v>
      </c>
      <c r="D92" s="2">
        <v>124</v>
      </c>
      <c r="E92" s="2">
        <v>131.5</v>
      </c>
      <c r="F92" s="2">
        <v>122</v>
      </c>
      <c r="G92" s="2">
        <v>128.69999999999999</v>
      </c>
      <c r="H92" s="2">
        <v>113.5</v>
      </c>
      <c r="I92" s="2">
        <v>133.30000000000001</v>
      </c>
      <c r="J92" s="2">
        <v>140.80000000000001</v>
      </c>
      <c r="K92" s="2">
        <v>133.80000000000001</v>
      </c>
      <c r="L92" s="2">
        <v>94.1</v>
      </c>
      <c r="M92" s="2">
        <v>123.4</v>
      </c>
      <c r="N92" s="2">
        <v>121</v>
      </c>
      <c r="O92" s="2">
        <v>131.69999999999999</v>
      </c>
      <c r="P92" s="2">
        <v>127.5</v>
      </c>
      <c r="Q92" s="2">
        <v>129.4</v>
      </c>
      <c r="R92" s="2">
        <v>128.80000000000001</v>
      </c>
      <c r="S92" s="2">
        <v>125.5</v>
      </c>
      <c r="T92" s="2">
        <v>128.30000000000001</v>
      </c>
      <c r="U92" s="2" t="s">
        <v>32</v>
      </c>
      <c r="V92" s="2">
        <v>123</v>
      </c>
      <c r="W92" s="2">
        <v>123</v>
      </c>
      <c r="X92" s="2">
        <v>120.8</v>
      </c>
      <c r="Y92" s="2">
        <v>114.1</v>
      </c>
      <c r="Z92" s="2">
        <v>118</v>
      </c>
      <c r="AA92" s="2">
        <v>122.9</v>
      </c>
      <c r="AB92" s="2">
        <v>112.7</v>
      </c>
      <c r="AC92" s="2">
        <v>118.1</v>
      </c>
      <c r="AD92" s="2">
        <v>124.7</v>
      </c>
    </row>
    <row r="93" spans="1:30" x14ac:dyDescent="0.35">
      <c r="A93" s="2" t="s">
        <v>33</v>
      </c>
      <c r="B93" s="2">
        <v>2015</v>
      </c>
      <c r="C93" s="2" t="s">
        <v>44</v>
      </c>
      <c r="D93" s="2">
        <v>123.2</v>
      </c>
      <c r="E93" s="2">
        <v>134.30000000000001</v>
      </c>
      <c r="F93" s="2">
        <v>119.5</v>
      </c>
      <c r="G93" s="2">
        <v>127.7</v>
      </c>
      <c r="H93" s="2">
        <v>106.3</v>
      </c>
      <c r="I93" s="2">
        <v>132.80000000000001</v>
      </c>
      <c r="J93" s="2">
        <v>153.5</v>
      </c>
      <c r="K93" s="2">
        <v>149.5</v>
      </c>
      <c r="L93" s="2">
        <v>85.7</v>
      </c>
      <c r="M93" s="2">
        <v>131.5</v>
      </c>
      <c r="N93" s="2">
        <v>118.3</v>
      </c>
      <c r="O93" s="2">
        <v>131.1</v>
      </c>
      <c r="P93" s="2">
        <v>129.5</v>
      </c>
      <c r="Q93" s="2">
        <v>133.1</v>
      </c>
      <c r="R93" s="2">
        <v>123.5</v>
      </c>
      <c r="S93" s="2">
        <v>117.9</v>
      </c>
      <c r="T93" s="2">
        <v>122.7</v>
      </c>
      <c r="U93" s="2" t="s">
        <v>75</v>
      </c>
      <c r="V93" s="2">
        <v>115.3</v>
      </c>
      <c r="W93" s="2">
        <v>119.5</v>
      </c>
      <c r="X93" s="2">
        <v>116</v>
      </c>
      <c r="Y93" s="2">
        <v>111.5</v>
      </c>
      <c r="Z93" s="2">
        <v>116.6</v>
      </c>
      <c r="AA93" s="2">
        <v>125.4</v>
      </c>
      <c r="AB93" s="2">
        <v>111.7</v>
      </c>
      <c r="AC93" s="2">
        <v>116.3</v>
      </c>
      <c r="AD93" s="2">
        <v>122.4</v>
      </c>
    </row>
    <row r="94" spans="1:30" x14ac:dyDescent="0.35">
      <c r="A94" s="2" t="s">
        <v>35</v>
      </c>
      <c r="B94" s="2">
        <v>2015</v>
      </c>
      <c r="C94" s="2" t="s">
        <v>44</v>
      </c>
      <c r="D94" s="2">
        <v>123.7</v>
      </c>
      <c r="E94" s="2">
        <v>132.5</v>
      </c>
      <c r="F94" s="2">
        <v>121</v>
      </c>
      <c r="G94" s="2">
        <v>128.30000000000001</v>
      </c>
      <c r="H94" s="2">
        <v>110.9</v>
      </c>
      <c r="I94" s="2">
        <v>133.1</v>
      </c>
      <c r="J94" s="2">
        <v>145.1</v>
      </c>
      <c r="K94" s="2">
        <v>139.1</v>
      </c>
      <c r="L94" s="2">
        <v>91.3</v>
      </c>
      <c r="M94" s="2">
        <v>126.1</v>
      </c>
      <c r="N94" s="2">
        <v>119.9</v>
      </c>
      <c r="O94" s="2">
        <v>131.4</v>
      </c>
      <c r="P94" s="2">
        <v>128.19999999999999</v>
      </c>
      <c r="Q94" s="2">
        <v>130.4</v>
      </c>
      <c r="R94" s="2">
        <v>126.7</v>
      </c>
      <c r="S94" s="2">
        <v>122.3</v>
      </c>
      <c r="T94" s="2">
        <v>126.1</v>
      </c>
      <c r="U94" s="2" t="s">
        <v>75</v>
      </c>
      <c r="V94" s="2">
        <v>120.1</v>
      </c>
      <c r="W94" s="2">
        <v>121.3</v>
      </c>
      <c r="X94" s="2">
        <v>119</v>
      </c>
      <c r="Y94" s="2">
        <v>112.7</v>
      </c>
      <c r="Z94" s="2">
        <v>117.2</v>
      </c>
      <c r="AA94" s="2">
        <v>124.4</v>
      </c>
      <c r="AB94" s="2">
        <v>112.3</v>
      </c>
      <c r="AC94" s="2">
        <v>117.2</v>
      </c>
      <c r="AD94" s="2">
        <v>123.6</v>
      </c>
    </row>
    <row r="95" spans="1:30" x14ac:dyDescent="0.35">
      <c r="A95" s="2" t="s">
        <v>30</v>
      </c>
      <c r="B95" s="2">
        <v>2015</v>
      </c>
      <c r="C95" s="2" t="s">
        <v>46</v>
      </c>
      <c r="D95" s="2">
        <v>124.7</v>
      </c>
      <c r="E95" s="2">
        <v>131.30000000000001</v>
      </c>
      <c r="F95" s="2">
        <v>121.3</v>
      </c>
      <c r="G95" s="2">
        <v>128.80000000000001</v>
      </c>
      <c r="H95" s="2">
        <v>114</v>
      </c>
      <c r="I95" s="2">
        <v>134.19999999999999</v>
      </c>
      <c r="J95" s="2">
        <v>153.6</v>
      </c>
      <c r="K95" s="2">
        <v>137.9</v>
      </c>
      <c r="L95" s="2">
        <v>93.1</v>
      </c>
      <c r="M95" s="2">
        <v>123.9</v>
      </c>
      <c r="N95" s="2">
        <v>121.5</v>
      </c>
      <c r="O95" s="2">
        <v>132.5</v>
      </c>
      <c r="P95" s="2">
        <v>129.80000000000001</v>
      </c>
      <c r="Q95" s="2">
        <v>130.1</v>
      </c>
      <c r="R95" s="2">
        <v>129.5</v>
      </c>
      <c r="S95" s="2">
        <v>126.3</v>
      </c>
      <c r="T95" s="2">
        <v>129</v>
      </c>
      <c r="U95" s="2" t="s">
        <v>32</v>
      </c>
      <c r="V95" s="2">
        <v>123.8</v>
      </c>
      <c r="W95" s="2">
        <v>123.7</v>
      </c>
      <c r="X95" s="2">
        <v>121.1</v>
      </c>
      <c r="Y95" s="2">
        <v>113.6</v>
      </c>
      <c r="Z95" s="2">
        <v>118.5</v>
      </c>
      <c r="AA95" s="2">
        <v>123.6</v>
      </c>
      <c r="AB95" s="2">
        <v>112.5</v>
      </c>
      <c r="AC95" s="2">
        <v>118.2</v>
      </c>
      <c r="AD95" s="2">
        <v>126.1</v>
      </c>
    </row>
    <row r="96" spans="1:30" x14ac:dyDescent="0.35">
      <c r="A96" s="2" t="s">
        <v>33</v>
      </c>
      <c r="B96" s="2">
        <v>2015</v>
      </c>
      <c r="C96" s="2" t="s">
        <v>46</v>
      </c>
      <c r="D96" s="2">
        <v>123.1</v>
      </c>
      <c r="E96" s="2">
        <v>131.69999999999999</v>
      </c>
      <c r="F96" s="2">
        <v>118.1</v>
      </c>
      <c r="G96" s="2">
        <v>128</v>
      </c>
      <c r="H96" s="2">
        <v>106.8</v>
      </c>
      <c r="I96" s="2">
        <v>130.1</v>
      </c>
      <c r="J96" s="2">
        <v>165.5</v>
      </c>
      <c r="K96" s="2">
        <v>156</v>
      </c>
      <c r="L96" s="2">
        <v>85.3</v>
      </c>
      <c r="M96" s="2">
        <v>132.69999999999999</v>
      </c>
      <c r="N96" s="2">
        <v>118.8</v>
      </c>
      <c r="O96" s="2">
        <v>131.69999999999999</v>
      </c>
      <c r="P96" s="2">
        <v>131.1</v>
      </c>
      <c r="Q96" s="2">
        <v>134.19999999999999</v>
      </c>
      <c r="R96" s="2">
        <v>123.7</v>
      </c>
      <c r="S96" s="2">
        <v>118.2</v>
      </c>
      <c r="T96" s="2">
        <v>122.9</v>
      </c>
      <c r="U96" s="2" t="s">
        <v>76</v>
      </c>
      <c r="V96" s="2">
        <v>115.3</v>
      </c>
      <c r="W96" s="2">
        <v>120</v>
      </c>
      <c r="X96" s="2">
        <v>116.6</v>
      </c>
      <c r="Y96" s="2">
        <v>109.9</v>
      </c>
      <c r="Z96" s="2">
        <v>117.2</v>
      </c>
      <c r="AA96" s="2">
        <v>126.2</v>
      </c>
      <c r="AB96" s="2">
        <v>112</v>
      </c>
      <c r="AC96" s="2">
        <v>116.2</v>
      </c>
      <c r="AD96" s="2">
        <v>123.2</v>
      </c>
    </row>
    <row r="97" spans="1:30" x14ac:dyDescent="0.35">
      <c r="A97" s="2" t="s">
        <v>35</v>
      </c>
      <c r="B97" s="2">
        <v>2015</v>
      </c>
      <c r="C97" s="2" t="s">
        <v>46</v>
      </c>
      <c r="D97" s="2">
        <v>124.2</v>
      </c>
      <c r="E97" s="2">
        <v>131.4</v>
      </c>
      <c r="F97" s="2">
        <v>120.1</v>
      </c>
      <c r="G97" s="2">
        <v>128.5</v>
      </c>
      <c r="H97" s="2">
        <v>111.4</v>
      </c>
      <c r="I97" s="2">
        <v>132.30000000000001</v>
      </c>
      <c r="J97" s="2">
        <v>157.6</v>
      </c>
      <c r="K97" s="2">
        <v>144</v>
      </c>
      <c r="L97" s="2">
        <v>90.5</v>
      </c>
      <c r="M97" s="2">
        <v>126.8</v>
      </c>
      <c r="N97" s="2">
        <v>120.4</v>
      </c>
      <c r="O97" s="2">
        <v>132.1</v>
      </c>
      <c r="P97" s="2">
        <v>130.30000000000001</v>
      </c>
      <c r="Q97" s="2">
        <v>131.19999999999999</v>
      </c>
      <c r="R97" s="2">
        <v>127.2</v>
      </c>
      <c r="S97" s="2">
        <v>122.9</v>
      </c>
      <c r="T97" s="2">
        <v>126.6</v>
      </c>
      <c r="U97" s="2" t="s">
        <v>76</v>
      </c>
      <c r="V97" s="2">
        <v>120.6</v>
      </c>
      <c r="W97" s="2">
        <v>122</v>
      </c>
      <c r="X97" s="2">
        <v>119.4</v>
      </c>
      <c r="Y97" s="2">
        <v>111.7</v>
      </c>
      <c r="Z97" s="2">
        <v>117.8</v>
      </c>
      <c r="AA97" s="2">
        <v>125.1</v>
      </c>
      <c r="AB97" s="2">
        <v>112.3</v>
      </c>
      <c r="AC97" s="2">
        <v>117.2</v>
      </c>
      <c r="AD97" s="2">
        <v>124.8</v>
      </c>
    </row>
    <row r="98" spans="1:30" x14ac:dyDescent="0.35">
      <c r="A98" s="2" t="s">
        <v>30</v>
      </c>
      <c r="B98" s="2">
        <v>2015</v>
      </c>
      <c r="C98" s="2" t="s">
        <v>48</v>
      </c>
      <c r="D98" s="2">
        <v>125.1</v>
      </c>
      <c r="E98" s="2">
        <v>131.1</v>
      </c>
      <c r="F98" s="2">
        <v>120.7</v>
      </c>
      <c r="G98" s="2">
        <v>129.19999999999999</v>
      </c>
      <c r="H98" s="2">
        <v>114.7</v>
      </c>
      <c r="I98" s="2">
        <v>132.30000000000001</v>
      </c>
      <c r="J98" s="2">
        <v>158.9</v>
      </c>
      <c r="K98" s="2">
        <v>142.1</v>
      </c>
      <c r="L98" s="2">
        <v>92.5</v>
      </c>
      <c r="M98" s="2">
        <v>125.4</v>
      </c>
      <c r="N98" s="2">
        <v>121.9</v>
      </c>
      <c r="O98" s="2">
        <v>132.69999999999999</v>
      </c>
      <c r="P98" s="2">
        <v>131</v>
      </c>
      <c r="Q98" s="2">
        <v>131</v>
      </c>
      <c r="R98" s="2">
        <v>130.4</v>
      </c>
      <c r="S98" s="2">
        <v>126.8</v>
      </c>
      <c r="T98" s="2">
        <v>129.9</v>
      </c>
      <c r="U98" s="2" t="s">
        <v>32</v>
      </c>
      <c r="V98" s="2">
        <v>123.7</v>
      </c>
      <c r="W98" s="2">
        <v>124.5</v>
      </c>
      <c r="X98" s="2">
        <v>121.4</v>
      </c>
      <c r="Y98" s="2">
        <v>113.8</v>
      </c>
      <c r="Z98" s="2">
        <v>119.6</v>
      </c>
      <c r="AA98" s="2">
        <v>124.5</v>
      </c>
      <c r="AB98" s="2">
        <v>113.7</v>
      </c>
      <c r="AC98" s="2">
        <v>118.8</v>
      </c>
      <c r="AD98" s="2">
        <v>127</v>
      </c>
    </row>
    <row r="99" spans="1:30" x14ac:dyDescent="0.35">
      <c r="A99" s="2" t="s">
        <v>33</v>
      </c>
      <c r="B99" s="2">
        <v>2015</v>
      </c>
      <c r="C99" s="2" t="s">
        <v>48</v>
      </c>
      <c r="D99" s="2">
        <v>123.4</v>
      </c>
      <c r="E99" s="2">
        <v>129</v>
      </c>
      <c r="F99" s="2">
        <v>115.6</v>
      </c>
      <c r="G99" s="2">
        <v>128.30000000000001</v>
      </c>
      <c r="H99" s="2">
        <v>107</v>
      </c>
      <c r="I99" s="2">
        <v>124</v>
      </c>
      <c r="J99" s="2">
        <v>168.5</v>
      </c>
      <c r="K99" s="2">
        <v>165.4</v>
      </c>
      <c r="L99" s="2">
        <v>86.3</v>
      </c>
      <c r="M99" s="2">
        <v>134.4</v>
      </c>
      <c r="N99" s="2">
        <v>119.1</v>
      </c>
      <c r="O99" s="2">
        <v>132.30000000000001</v>
      </c>
      <c r="P99" s="2">
        <v>131.5</v>
      </c>
      <c r="Q99" s="2">
        <v>134.69999999999999</v>
      </c>
      <c r="R99" s="2">
        <v>124</v>
      </c>
      <c r="S99" s="2">
        <v>118.6</v>
      </c>
      <c r="T99" s="2">
        <v>123.2</v>
      </c>
      <c r="U99" s="2" t="s">
        <v>77</v>
      </c>
      <c r="V99" s="2">
        <v>115.1</v>
      </c>
      <c r="W99" s="2">
        <v>120.4</v>
      </c>
      <c r="X99" s="2">
        <v>117.1</v>
      </c>
      <c r="Y99" s="2">
        <v>109.1</v>
      </c>
      <c r="Z99" s="2">
        <v>117.3</v>
      </c>
      <c r="AA99" s="2">
        <v>126.5</v>
      </c>
      <c r="AB99" s="2">
        <v>112.9</v>
      </c>
      <c r="AC99" s="2">
        <v>116.2</v>
      </c>
      <c r="AD99" s="2">
        <v>123.5</v>
      </c>
    </row>
    <row r="100" spans="1:30" x14ac:dyDescent="0.35">
      <c r="A100" s="2" t="s">
        <v>35</v>
      </c>
      <c r="B100" s="2">
        <v>2015</v>
      </c>
      <c r="C100" s="2" t="s">
        <v>48</v>
      </c>
      <c r="D100" s="2">
        <v>124.6</v>
      </c>
      <c r="E100" s="2">
        <v>130.4</v>
      </c>
      <c r="F100" s="2">
        <v>118.7</v>
      </c>
      <c r="G100" s="2">
        <v>128.9</v>
      </c>
      <c r="H100" s="2">
        <v>111.9</v>
      </c>
      <c r="I100" s="2">
        <v>128.4</v>
      </c>
      <c r="J100" s="2">
        <v>162.19999999999999</v>
      </c>
      <c r="K100" s="2">
        <v>150</v>
      </c>
      <c r="L100" s="2">
        <v>90.4</v>
      </c>
      <c r="M100" s="2">
        <v>128.4</v>
      </c>
      <c r="N100" s="2">
        <v>120.7</v>
      </c>
      <c r="O100" s="2">
        <v>132.5</v>
      </c>
      <c r="P100" s="2">
        <v>131.19999999999999</v>
      </c>
      <c r="Q100" s="2">
        <v>132</v>
      </c>
      <c r="R100" s="2">
        <v>127.9</v>
      </c>
      <c r="S100" s="2">
        <v>123.4</v>
      </c>
      <c r="T100" s="2">
        <v>127.2</v>
      </c>
      <c r="U100" s="2" t="s">
        <v>77</v>
      </c>
      <c r="V100" s="2">
        <v>120.4</v>
      </c>
      <c r="W100" s="2">
        <v>122.6</v>
      </c>
      <c r="X100" s="2">
        <v>119.8</v>
      </c>
      <c r="Y100" s="2">
        <v>111.3</v>
      </c>
      <c r="Z100" s="2">
        <v>118.3</v>
      </c>
      <c r="AA100" s="2">
        <v>125.7</v>
      </c>
      <c r="AB100" s="2">
        <v>113.4</v>
      </c>
      <c r="AC100" s="2">
        <v>117.5</v>
      </c>
      <c r="AD100" s="2">
        <v>125.4</v>
      </c>
    </row>
    <row r="101" spans="1:30" x14ac:dyDescent="0.35">
      <c r="A101" s="2" t="s">
        <v>30</v>
      </c>
      <c r="B101" s="2">
        <v>2015</v>
      </c>
      <c r="C101" s="2" t="s">
        <v>50</v>
      </c>
      <c r="D101" s="2">
        <v>125.6</v>
      </c>
      <c r="E101" s="2">
        <v>130.4</v>
      </c>
      <c r="F101" s="2">
        <v>120.8</v>
      </c>
      <c r="G101" s="2">
        <v>129.4</v>
      </c>
      <c r="H101" s="2">
        <v>115.8</v>
      </c>
      <c r="I101" s="2">
        <v>133.19999999999999</v>
      </c>
      <c r="J101" s="2">
        <v>157.69999999999999</v>
      </c>
      <c r="K101" s="2">
        <v>154.19999999999999</v>
      </c>
      <c r="L101" s="2">
        <v>93.7</v>
      </c>
      <c r="M101" s="2">
        <v>126.6</v>
      </c>
      <c r="N101" s="2">
        <v>122.3</v>
      </c>
      <c r="O101" s="2">
        <v>133.1</v>
      </c>
      <c r="P101" s="2">
        <v>131.80000000000001</v>
      </c>
      <c r="Q101" s="2">
        <v>131.5</v>
      </c>
      <c r="R101" s="2">
        <v>131.1</v>
      </c>
      <c r="S101" s="2">
        <v>127.3</v>
      </c>
      <c r="T101" s="2">
        <v>130.6</v>
      </c>
      <c r="U101" s="2" t="s">
        <v>32</v>
      </c>
      <c r="V101" s="2">
        <v>124.4</v>
      </c>
      <c r="W101" s="2">
        <v>125.1</v>
      </c>
      <c r="X101" s="2">
        <v>122</v>
      </c>
      <c r="Y101" s="2">
        <v>113.8</v>
      </c>
      <c r="Z101" s="2">
        <v>120.1</v>
      </c>
      <c r="AA101" s="2">
        <v>125.1</v>
      </c>
      <c r="AB101" s="2">
        <v>114.2</v>
      </c>
      <c r="AC101" s="2">
        <v>119.2</v>
      </c>
      <c r="AD101" s="2">
        <v>127.7</v>
      </c>
    </row>
    <row r="102" spans="1:30" x14ac:dyDescent="0.35">
      <c r="A102" s="2" t="s">
        <v>33</v>
      </c>
      <c r="B102" s="2">
        <v>2015</v>
      </c>
      <c r="C102" s="2" t="s">
        <v>50</v>
      </c>
      <c r="D102" s="2">
        <v>123.6</v>
      </c>
      <c r="E102" s="2">
        <v>128.6</v>
      </c>
      <c r="F102" s="2">
        <v>115.9</v>
      </c>
      <c r="G102" s="2">
        <v>128.5</v>
      </c>
      <c r="H102" s="2">
        <v>109</v>
      </c>
      <c r="I102" s="2">
        <v>124.1</v>
      </c>
      <c r="J102" s="2">
        <v>165.8</v>
      </c>
      <c r="K102" s="2">
        <v>187.2</v>
      </c>
      <c r="L102" s="2">
        <v>89.4</v>
      </c>
      <c r="M102" s="2">
        <v>135.80000000000001</v>
      </c>
      <c r="N102" s="2">
        <v>119.4</v>
      </c>
      <c r="O102" s="2">
        <v>132.9</v>
      </c>
      <c r="P102" s="2">
        <v>132.6</v>
      </c>
      <c r="Q102" s="2">
        <v>135.30000000000001</v>
      </c>
      <c r="R102" s="2">
        <v>124.4</v>
      </c>
      <c r="S102" s="2">
        <v>118.8</v>
      </c>
      <c r="T102" s="2">
        <v>123.6</v>
      </c>
      <c r="U102" s="2" t="s">
        <v>78</v>
      </c>
      <c r="V102" s="2">
        <v>114.9</v>
      </c>
      <c r="W102" s="2">
        <v>120.7</v>
      </c>
      <c r="X102" s="2">
        <v>117.7</v>
      </c>
      <c r="Y102" s="2">
        <v>109.3</v>
      </c>
      <c r="Z102" s="2">
        <v>117.7</v>
      </c>
      <c r="AA102" s="2">
        <v>126.5</v>
      </c>
      <c r="AB102" s="2">
        <v>113.5</v>
      </c>
      <c r="AC102" s="2">
        <v>116.5</v>
      </c>
      <c r="AD102" s="2">
        <v>124.2</v>
      </c>
    </row>
    <row r="103" spans="1:30" x14ac:dyDescent="0.35">
      <c r="A103" s="2" t="s">
        <v>35</v>
      </c>
      <c r="B103" s="2">
        <v>2015</v>
      </c>
      <c r="C103" s="2" t="s">
        <v>50</v>
      </c>
      <c r="D103" s="2">
        <v>125</v>
      </c>
      <c r="E103" s="2">
        <v>129.80000000000001</v>
      </c>
      <c r="F103" s="2">
        <v>118.9</v>
      </c>
      <c r="G103" s="2">
        <v>129.1</v>
      </c>
      <c r="H103" s="2">
        <v>113.3</v>
      </c>
      <c r="I103" s="2">
        <v>129</v>
      </c>
      <c r="J103" s="2">
        <v>160.4</v>
      </c>
      <c r="K103" s="2">
        <v>165.3</v>
      </c>
      <c r="L103" s="2">
        <v>92.3</v>
      </c>
      <c r="M103" s="2">
        <v>129.69999999999999</v>
      </c>
      <c r="N103" s="2">
        <v>121.1</v>
      </c>
      <c r="O103" s="2">
        <v>133</v>
      </c>
      <c r="P103" s="2">
        <v>132.1</v>
      </c>
      <c r="Q103" s="2">
        <v>132.5</v>
      </c>
      <c r="R103" s="2">
        <v>128.5</v>
      </c>
      <c r="S103" s="2">
        <v>123.8</v>
      </c>
      <c r="T103" s="2">
        <v>127.8</v>
      </c>
      <c r="U103" s="2" t="s">
        <v>78</v>
      </c>
      <c r="V103" s="2">
        <v>120.8</v>
      </c>
      <c r="W103" s="2">
        <v>123</v>
      </c>
      <c r="X103" s="2">
        <v>120.4</v>
      </c>
      <c r="Y103" s="2">
        <v>111.4</v>
      </c>
      <c r="Z103" s="2">
        <v>118.7</v>
      </c>
      <c r="AA103" s="2">
        <v>125.9</v>
      </c>
      <c r="AB103" s="2">
        <v>113.9</v>
      </c>
      <c r="AC103" s="2">
        <v>117.9</v>
      </c>
      <c r="AD103" s="2">
        <v>126.1</v>
      </c>
    </row>
    <row r="104" spans="1:30" x14ac:dyDescent="0.35">
      <c r="A104" s="2" t="s">
        <v>30</v>
      </c>
      <c r="B104" s="2">
        <v>2015</v>
      </c>
      <c r="C104" s="2" t="s">
        <v>53</v>
      </c>
      <c r="D104" s="2">
        <v>126.1</v>
      </c>
      <c r="E104" s="2">
        <v>130.6</v>
      </c>
      <c r="F104" s="2">
        <v>121.7</v>
      </c>
      <c r="G104" s="2">
        <v>129.5</v>
      </c>
      <c r="H104" s="2">
        <v>117.8</v>
      </c>
      <c r="I104" s="2">
        <v>132.1</v>
      </c>
      <c r="J104" s="2">
        <v>155.19999999999999</v>
      </c>
      <c r="K104" s="2">
        <v>160.80000000000001</v>
      </c>
      <c r="L104" s="2">
        <v>94.5</v>
      </c>
      <c r="M104" s="2">
        <v>128.30000000000001</v>
      </c>
      <c r="N104" s="2">
        <v>123.1</v>
      </c>
      <c r="O104" s="2">
        <v>134.19999999999999</v>
      </c>
      <c r="P104" s="2">
        <v>132.4</v>
      </c>
      <c r="Q104" s="2">
        <v>132.19999999999999</v>
      </c>
      <c r="R104" s="2">
        <v>132.1</v>
      </c>
      <c r="S104" s="2">
        <v>128.19999999999999</v>
      </c>
      <c r="T104" s="2">
        <v>131.5</v>
      </c>
      <c r="U104" s="2" t="s">
        <v>32</v>
      </c>
      <c r="V104" s="2">
        <v>125.6</v>
      </c>
      <c r="W104" s="2">
        <v>125.6</v>
      </c>
      <c r="X104" s="2">
        <v>122.6</v>
      </c>
      <c r="Y104" s="2">
        <v>114</v>
      </c>
      <c r="Z104" s="2">
        <v>120.9</v>
      </c>
      <c r="AA104" s="2">
        <v>125.8</v>
      </c>
      <c r="AB104" s="2">
        <v>114.2</v>
      </c>
      <c r="AC104" s="2">
        <v>119.6</v>
      </c>
      <c r="AD104" s="2">
        <v>128.30000000000001</v>
      </c>
    </row>
    <row r="105" spans="1:30" x14ac:dyDescent="0.35">
      <c r="A105" s="2" t="s">
        <v>33</v>
      </c>
      <c r="B105" s="2">
        <v>2015</v>
      </c>
      <c r="C105" s="2" t="s">
        <v>53</v>
      </c>
      <c r="D105" s="2">
        <v>124</v>
      </c>
      <c r="E105" s="2">
        <v>129.80000000000001</v>
      </c>
      <c r="F105" s="2">
        <v>121.5</v>
      </c>
      <c r="G105" s="2">
        <v>128.6</v>
      </c>
      <c r="H105" s="2">
        <v>110</v>
      </c>
      <c r="I105" s="2">
        <v>123.7</v>
      </c>
      <c r="J105" s="2">
        <v>164.6</v>
      </c>
      <c r="K105" s="2">
        <v>191.6</v>
      </c>
      <c r="L105" s="2">
        <v>90.8</v>
      </c>
      <c r="M105" s="2">
        <v>137.1</v>
      </c>
      <c r="N105" s="2">
        <v>119.8</v>
      </c>
      <c r="O105" s="2">
        <v>133.69999999999999</v>
      </c>
      <c r="P105" s="2">
        <v>133.30000000000001</v>
      </c>
      <c r="Q105" s="2">
        <v>137.6</v>
      </c>
      <c r="R105" s="2">
        <v>125</v>
      </c>
      <c r="S105" s="2">
        <v>119.3</v>
      </c>
      <c r="T105" s="2">
        <v>124.2</v>
      </c>
      <c r="U105" s="2" t="s">
        <v>79</v>
      </c>
      <c r="V105" s="2">
        <v>115.1</v>
      </c>
      <c r="W105" s="2">
        <v>121</v>
      </c>
      <c r="X105" s="2">
        <v>118.1</v>
      </c>
      <c r="Y105" s="2">
        <v>109.3</v>
      </c>
      <c r="Z105" s="2">
        <v>117.9</v>
      </c>
      <c r="AA105" s="2">
        <v>126.6</v>
      </c>
      <c r="AB105" s="2">
        <v>113.3</v>
      </c>
      <c r="AC105" s="2">
        <v>116.6</v>
      </c>
      <c r="AD105" s="2">
        <v>124.6</v>
      </c>
    </row>
    <row r="106" spans="1:30" x14ac:dyDescent="0.35">
      <c r="A106" s="2" t="s">
        <v>35</v>
      </c>
      <c r="B106" s="2">
        <v>2015</v>
      </c>
      <c r="C106" s="2" t="s">
        <v>53</v>
      </c>
      <c r="D106" s="2">
        <v>125.4</v>
      </c>
      <c r="E106" s="2">
        <v>130.30000000000001</v>
      </c>
      <c r="F106" s="2">
        <v>121.6</v>
      </c>
      <c r="G106" s="2">
        <v>129.19999999999999</v>
      </c>
      <c r="H106" s="2">
        <v>114.9</v>
      </c>
      <c r="I106" s="2">
        <v>128.19999999999999</v>
      </c>
      <c r="J106" s="2">
        <v>158.4</v>
      </c>
      <c r="K106" s="2">
        <v>171.2</v>
      </c>
      <c r="L106" s="2">
        <v>93.3</v>
      </c>
      <c r="M106" s="2">
        <v>131.19999999999999</v>
      </c>
      <c r="N106" s="2">
        <v>121.7</v>
      </c>
      <c r="O106" s="2">
        <v>134</v>
      </c>
      <c r="P106" s="2">
        <v>132.69999999999999</v>
      </c>
      <c r="Q106" s="2">
        <v>133.6</v>
      </c>
      <c r="R106" s="2">
        <v>129.30000000000001</v>
      </c>
      <c r="S106" s="2">
        <v>124.5</v>
      </c>
      <c r="T106" s="2">
        <v>128.6</v>
      </c>
      <c r="U106" s="2" t="s">
        <v>79</v>
      </c>
      <c r="V106" s="2">
        <v>121.6</v>
      </c>
      <c r="W106" s="2">
        <v>123.4</v>
      </c>
      <c r="X106" s="2">
        <v>120.9</v>
      </c>
      <c r="Y106" s="2">
        <v>111.5</v>
      </c>
      <c r="Z106" s="2">
        <v>119.2</v>
      </c>
      <c r="AA106" s="2">
        <v>126.3</v>
      </c>
      <c r="AB106" s="2">
        <v>113.8</v>
      </c>
      <c r="AC106" s="2">
        <v>118.1</v>
      </c>
      <c r="AD106" s="2">
        <v>126.6</v>
      </c>
    </row>
    <row r="107" spans="1:30" x14ac:dyDescent="0.35">
      <c r="A107" s="2" t="s">
        <v>30</v>
      </c>
      <c r="B107" s="2">
        <v>2015</v>
      </c>
      <c r="C107" s="2" t="s">
        <v>55</v>
      </c>
      <c r="D107" s="2">
        <v>126.3</v>
      </c>
      <c r="E107" s="2">
        <v>131.30000000000001</v>
      </c>
      <c r="F107" s="2">
        <v>123.3</v>
      </c>
      <c r="G107" s="2">
        <v>129.80000000000001</v>
      </c>
      <c r="H107" s="2">
        <v>118.3</v>
      </c>
      <c r="I107" s="2">
        <v>131.6</v>
      </c>
      <c r="J107" s="2">
        <v>145.5</v>
      </c>
      <c r="K107" s="2">
        <v>162.1</v>
      </c>
      <c r="L107" s="2">
        <v>95.4</v>
      </c>
      <c r="M107" s="2">
        <v>128.9</v>
      </c>
      <c r="N107" s="2">
        <v>123.3</v>
      </c>
      <c r="O107" s="2">
        <v>135.1</v>
      </c>
      <c r="P107" s="2">
        <v>131.4</v>
      </c>
      <c r="Q107" s="2">
        <v>133.1</v>
      </c>
      <c r="R107" s="2">
        <v>132.5</v>
      </c>
      <c r="S107" s="2">
        <v>128.5</v>
      </c>
      <c r="T107" s="2">
        <v>131.9</v>
      </c>
      <c r="U107" s="2" t="s">
        <v>32</v>
      </c>
      <c r="V107" s="2">
        <v>125.7</v>
      </c>
      <c r="W107" s="2">
        <v>126</v>
      </c>
      <c r="X107" s="2">
        <v>123.1</v>
      </c>
      <c r="Y107" s="2">
        <v>114</v>
      </c>
      <c r="Z107" s="2">
        <v>121.6</v>
      </c>
      <c r="AA107" s="2">
        <v>125.6</v>
      </c>
      <c r="AB107" s="2">
        <v>114.1</v>
      </c>
      <c r="AC107" s="2">
        <v>119.8</v>
      </c>
      <c r="AD107" s="2">
        <v>127.9</v>
      </c>
    </row>
    <row r="108" spans="1:30" x14ac:dyDescent="0.35">
      <c r="A108" s="2" t="s">
        <v>33</v>
      </c>
      <c r="B108" s="2">
        <v>2015</v>
      </c>
      <c r="C108" s="2" t="s">
        <v>55</v>
      </c>
      <c r="D108" s="2">
        <v>124.3</v>
      </c>
      <c r="E108" s="2">
        <v>131.69999999999999</v>
      </c>
      <c r="F108" s="2">
        <v>127.1</v>
      </c>
      <c r="G108" s="2">
        <v>128.6</v>
      </c>
      <c r="H108" s="2">
        <v>110</v>
      </c>
      <c r="I108" s="2">
        <v>120.8</v>
      </c>
      <c r="J108" s="2">
        <v>149</v>
      </c>
      <c r="K108" s="2">
        <v>190.1</v>
      </c>
      <c r="L108" s="2">
        <v>92.7</v>
      </c>
      <c r="M108" s="2">
        <v>138.6</v>
      </c>
      <c r="N108" s="2">
        <v>120.2</v>
      </c>
      <c r="O108" s="2">
        <v>134.19999999999999</v>
      </c>
      <c r="P108" s="2">
        <v>131.5</v>
      </c>
      <c r="Q108" s="2">
        <v>138.19999999999999</v>
      </c>
      <c r="R108" s="2">
        <v>125.4</v>
      </c>
      <c r="S108" s="2">
        <v>119.5</v>
      </c>
      <c r="T108" s="2">
        <v>124.5</v>
      </c>
      <c r="U108" s="2" t="s">
        <v>78</v>
      </c>
      <c r="V108" s="2">
        <v>116</v>
      </c>
      <c r="W108" s="2">
        <v>121</v>
      </c>
      <c r="X108" s="2">
        <v>118.6</v>
      </c>
      <c r="Y108" s="2">
        <v>109.3</v>
      </c>
      <c r="Z108" s="2">
        <v>118.1</v>
      </c>
      <c r="AA108" s="2">
        <v>126.6</v>
      </c>
      <c r="AB108" s="2">
        <v>113.2</v>
      </c>
      <c r="AC108" s="2">
        <v>116.7</v>
      </c>
      <c r="AD108" s="2">
        <v>124</v>
      </c>
    </row>
    <row r="109" spans="1:30" x14ac:dyDescent="0.35">
      <c r="A109" s="2" t="s">
        <v>35</v>
      </c>
      <c r="B109" s="2">
        <v>2015</v>
      </c>
      <c r="C109" s="2" t="s">
        <v>55</v>
      </c>
      <c r="D109" s="2">
        <v>125.7</v>
      </c>
      <c r="E109" s="2">
        <v>131.4</v>
      </c>
      <c r="F109" s="2">
        <v>124.8</v>
      </c>
      <c r="G109" s="2">
        <v>129.4</v>
      </c>
      <c r="H109" s="2">
        <v>115.3</v>
      </c>
      <c r="I109" s="2">
        <v>126.6</v>
      </c>
      <c r="J109" s="2">
        <v>146.69999999999999</v>
      </c>
      <c r="K109" s="2">
        <v>171.5</v>
      </c>
      <c r="L109" s="2">
        <v>94.5</v>
      </c>
      <c r="M109" s="2">
        <v>132.1</v>
      </c>
      <c r="N109" s="2">
        <v>122</v>
      </c>
      <c r="O109" s="2">
        <v>134.69999999999999</v>
      </c>
      <c r="P109" s="2">
        <v>131.4</v>
      </c>
      <c r="Q109" s="2">
        <v>134.5</v>
      </c>
      <c r="R109" s="2">
        <v>129.69999999999999</v>
      </c>
      <c r="S109" s="2">
        <v>124.8</v>
      </c>
      <c r="T109" s="2">
        <v>129</v>
      </c>
      <c r="U109" s="2" t="s">
        <v>78</v>
      </c>
      <c r="V109" s="2">
        <v>122</v>
      </c>
      <c r="W109" s="2">
        <v>123.6</v>
      </c>
      <c r="X109" s="2">
        <v>121.4</v>
      </c>
      <c r="Y109" s="2">
        <v>111.5</v>
      </c>
      <c r="Z109" s="2">
        <v>119.6</v>
      </c>
      <c r="AA109" s="2">
        <v>126.2</v>
      </c>
      <c r="AB109" s="2">
        <v>113.7</v>
      </c>
      <c r="AC109" s="2">
        <v>118.3</v>
      </c>
      <c r="AD109" s="2">
        <v>126.1</v>
      </c>
    </row>
    <row r="110" spans="1:30" x14ac:dyDescent="0.35">
      <c r="A110" s="2" t="s">
        <v>30</v>
      </c>
      <c r="B110" s="2">
        <v>2016</v>
      </c>
      <c r="C110" s="2" t="s">
        <v>31</v>
      </c>
      <c r="D110" s="2">
        <v>126.8</v>
      </c>
      <c r="E110" s="2">
        <v>133.19999999999999</v>
      </c>
      <c r="F110" s="2">
        <v>126.5</v>
      </c>
      <c r="G110" s="2">
        <v>130.30000000000001</v>
      </c>
      <c r="H110" s="2">
        <v>118.9</v>
      </c>
      <c r="I110" s="2">
        <v>131.6</v>
      </c>
      <c r="J110" s="2">
        <v>140.1</v>
      </c>
      <c r="K110" s="2">
        <v>163.80000000000001</v>
      </c>
      <c r="L110" s="2">
        <v>97.7</v>
      </c>
      <c r="M110" s="2">
        <v>129.6</v>
      </c>
      <c r="N110" s="2">
        <v>124.3</v>
      </c>
      <c r="O110" s="2">
        <v>135.9</v>
      </c>
      <c r="P110" s="2">
        <v>131.4</v>
      </c>
      <c r="Q110" s="2">
        <v>133.6</v>
      </c>
      <c r="R110" s="2">
        <v>133.19999999999999</v>
      </c>
      <c r="S110" s="2">
        <v>128.9</v>
      </c>
      <c r="T110" s="2">
        <v>132.6</v>
      </c>
      <c r="U110" s="2" t="s">
        <v>32</v>
      </c>
      <c r="V110" s="2">
        <v>126.2</v>
      </c>
      <c r="W110" s="2">
        <v>126.6</v>
      </c>
      <c r="X110" s="2">
        <v>123.7</v>
      </c>
      <c r="Y110" s="2">
        <v>113.6</v>
      </c>
      <c r="Z110" s="2">
        <v>121.4</v>
      </c>
      <c r="AA110" s="2">
        <v>126.2</v>
      </c>
      <c r="AB110" s="2">
        <v>114.9</v>
      </c>
      <c r="AC110" s="2">
        <v>120.1</v>
      </c>
      <c r="AD110" s="2">
        <v>128.1</v>
      </c>
    </row>
    <row r="111" spans="1:30" x14ac:dyDescent="0.35">
      <c r="A111" s="2" t="s">
        <v>33</v>
      </c>
      <c r="B111" s="2">
        <v>2016</v>
      </c>
      <c r="C111" s="2" t="s">
        <v>31</v>
      </c>
      <c r="D111" s="2">
        <v>124.7</v>
      </c>
      <c r="E111" s="2">
        <v>135.9</v>
      </c>
      <c r="F111" s="2">
        <v>132</v>
      </c>
      <c r="G111" s="2">
        <v>129.19999999999999</v>
      </c>
      <c r="H111" s="2">
        <v>109.7</v>
      </c>
      <c r="I111" s="2">
        <v>119</v>
      </c>
      <c r="J111" s="2">
        <v>144.1</v>
      </c>
      <c r="K111" s="2">
        <v>184.2</v>
      </c>
      <c r="L111" s="2">
        <v>96.7</v>
      </c>
      <c r="M111" s="2">
        <v>139.5</v>
      </c>
      <c r="N111" s="2">
        <v>120.5</v>
      </c>
      <c r="O111" s="2">
        <v>134.69999999999999</v>
      </c>
      <c r="P111" s="2">
        <v>131.19999999999999</v>
      </c>
      <c r="Q111" s="2">
        <v>139.5</v>
      </c>
      <c r="R111" s="2">
        <v>125.8</v>
      </c>
      <c r="S111" s="2">
        <v>119.8</v>
      </c>
      <c r="T111" s="2">
        <v>124.9</v>
      </c>
      <c r="U111" s="2" t="s">
        <v>80</v>
      </c>
      <c r="V111" s="2">
        <v>116.9</v>
      </c>
      <c r="W111" s="2">
        <v>121.6</v>
      </c>
      <c r="X111" s="2">
        <v>119.1</v>
      </c>
      <c r="Y111" s="2">
        <v>108.9</v>
      </c>
      <c r="Z111" s="2">
        <v>118.5</v>
      </c>
      <c r="AA111" s="2">
        <v>126.4</v>
      </c>
      <c r="AB111" s="2">
        <v>114</v>
      </c>
      <c r="AC111" s="2">
        <v>116.8</v>
      </c>
      <c r="AD111" s="2">
        <v>124.2</v>
      </c>
    </row>
    <row r="112" spans="1:30" x14ac:dyDescent="0.35">
      <c r="A112" s="2" t="s">
        <v>35</v>
      </c>
      <c r="B112" s="2">
        <v>2016</v>
      </c>
      <c r="C112" s="2" t="s">
        <v>31</v>
      </c>
      <c r="D112" s="2">
        <v>126.1</v>
      </c>
      <c r="E112" s="2">
        <v>134.1</v>
      </c>
      <c r="F112" s="2">
        <v>128.6</v>
      </c>
      <c r="G112" s="2">
        <v>129.9</v>
      </c>
      <c r="H112" s="2">
        <v>115.5</v>
      </c>
      <c r="I112" s="2">
        <v>125.7</v>
      </c>
      <c r="J112" s="2">
        <v>141.5</v>
      </c>
      <c r="K112" s="2">
        <v>170.7</v>
      </c>
      <c r="L112" s="2">
        <v>97.4</v>
      </c>
      <c r="M112" s="2">
        <v>132.9</v>
      </c>
      <c r="N112" s="2">
        <v>122.7</v>
      </c>
      <c r="O112" s="2">
        <v>135.30000000000001</v>
      </c>
      <c r="P112" s="2">
        <v>131.30000000000001</v>
      </c>
      <c r="Q112" s="2">
        <v>135.19999999999999</v>
      </c>
      <c r="R112" s="2">
        <v>130.30000000000001</v>
      </c>
      <c r="S112" s="2">
        <v>125.1</v>
      </c>
      <c r="T112" s="2">
        <v>129.5</v>
      </c>
      <c r="U112" s="2" t="s">
        <v>80</v>
      </c>
      <c r="V112" s="2">
        <v>122.7</v>
      </c>
      <c r="W112" s="2">
        <v>124.2</v>
      </c>
      <c r="X112" s="2">
        <v>122</v>
      </c>
      <c r="Y112" s="2">
        <v>111.1</v>
      </c>
      <c r="Z112" s="2">
        <v>119.8</v>
      </c>
      <c r="AA112" s="2">
        <v>126.3</v>
      </c>
      <c r="AB112" s="2">
        <v>114.5</v>
      </c>
      <c r="AC112" s="2">
        <v>118.5</v>
      </c>
      <c r="AD112" s="2">
        <v>126.3</v>
      </c>
    </row>
    <row r="113" spans="1:30" x14ac:dyDescent="0.35">
      <c r="A113" s="2" t="s">
        <v>30</v>
      </c>
      <c r="B113" s="2">
        <v>2016</v>
      </c>
      <c r="C113" s="2" t="s">
        <v>36</v>
      </c>
      <c r="D113" s="2">
        <v>127.1</v>
      </c>
      <c r="E113" s="2">
        <v>133.69999999999999</v>
      </c>
      <c r="F113" s="2">
        <v>127.7</v>
      </c>
      <c r="G113" s="2">
        <v>130.69999999999999</v>
      </c>
      <c r="H113" s="2">
        <v>118.5</v>
      </c>
      <c r="I113" s="2">
        <v>130.4</v>
      </c>
      <c r="J113" s="2">
        <v>130.9</v>
      </c>
      <c r="K113" s="2">
        <v>162.80000000000001</v>
      </c>
      <c r="L113" s="2">
        <v>98.7</v>
      </c>
      <c r="M113" s="2">
        <v>130.6</v>
      </c>
      <c r="N113" s="2">
        <v>124.8</v>
      </c>
      <c r="O113" s="2">
        <v>136.4</v>
      </c>
      <c r="P113" s="2">
        <v>130.30000000000001</v>
      </c>
      <c r="Q113" s="2">
        <v>134.4</v>
      </c>
      <c r="R113" s="2">
        <v>133.9</v>
      </c>
      <c r="S113" s="2">
        <v>129.80000000000001</v>
      </c>
      <c r="T113" s="2">
        <v>133.4</v>
      </c>
      <c r="U113" s="2" t="s">
        <v>32</v>
      </c>
      <c r="V113" s="2">
        <v>127.5</v>
      </c>
      <c r="W113" s="2">
        <v>127.1</v>
      </c>
      <c r="X113" s="2">
        <v>124.3</v>
      </c>
      <c r="Y113" s="2">
        <v>113.9</v>
      </c>
      <c r="Z113" s="2">
        <v>122.3</v>
      </c>
      <c r="AA113" s="2">
        <v>127.1</v>
      </c>
      <c r="AB113" s="2">
        <v>116.8</v>
      </c>
      <c r="AC113" s="2">
        <v>120.9</v>
      </c>
      <c r="AD113" s="2">
        <v>127.9</v>
      </c>
    </row>
    <row r="114" spans="1:30" x14ac:dyDescent="0.35">
      <c r="A114" s="2" t="s">
        <v>33</v>
      </c>
      <c r="B114" s="2">
        <v>2016</v>
      </c>
      <c r="C114" s="2" t="s">
        <v>36</v>
      </c>
      <c r="D114" s="2">
        <v>124.8</v>
      </c>
      <c r="E114" s="2">
        <v>135.1</v>
      </c>
      <c r="F114" s="2">
        <v>130.30000000000001</v>
      </c>
      <c r="G114" s="2">
        <v>129.6</v>
      </c>
      <c r="H114" s="2">
        <v>108.4</v>
      </c>
      <c r="I114" s="2">
        <v>118.6</v>
      </c>
      <c r="J114" s="2">
        <v>129.19999999999999</v>
      </c>
      <c r="K114" s="2">
        <v>176.4</v>
      </c>
      <c r="L114" s="2">
        <v>99.1</v>
      </c>
      <c r="M114" s="2">
        <v>139.69999999999999</v>
      </c>
      <c r="N114" s="2">
        <v>120.6</v>
      </c>
      <c r="O114" s="2">
        <v>135.19999999999999</v>
      </c>
      <c r="P114" s="2">
        <v>129.1</v>
      </c>
      <c r="Q114" s="2">
        <v>140</v>
      </c>
      <c r="R114" s="2">
        <v>126.2</v>
      </c>
      <c r="S114" s="2">
        <v>120.1</v>
      </c>
      <c r="T114" s="2">
        <v>125.3</v>
      </c>
      <c r="U114" s="2" t="s">
        <v>81</v>
      </c>
      <c r="V114" s="2">
        <v>116</v>
      </c>
      <c r="W114" s="2">
        <v>121.8</v>
      </c>
      <c r="X114" s="2">
        <v>119.5</v>
      </c>
      <c r="Y114" s="2">
        <v>109.1</v>
      </c>
      <c r="Z114" s="2">
        <v>118.8</v>
      </c>
      <c r="AA114" s="2">
        <v>126.3</v>
      </c>
      <c r="AB114" s="2">
        <v>116.2</v>
      </c>
      <c r="AC114" s="2">
        <v>117.2</v>
      </c>
      <c r="AD114" s="2">
        <v>123.8</v>
      </c>
    </row>
    <row r="115" spans="1:30" x14ac:dyDescent="0.35">
      <c r="A115" s="2" t="s">
        <v>35</v>
      </c>
      <c r="B115" s="2">
        <v>2016</v>
      </c>
      <c r="C115" s="2" t="s">
        <v>36</v>
      </c>
      <c r="D115" s="2">
        <v>126.4</v>
      </c>
      <c r="E115" s="2">
        <v>134.19999999999999</v>
      </c>
      <c r="F115" s="2">
        <v>128.69999999999999</v>
      </c>
      <c r="G115" s="2">
        <v>130.30000000000001</v>
      </c>
      <c r="H115" s="2">
        <v>114.8</v>
      </c>
      <c r="I115" s="2">
        <v>124.9</v>
      </c>
      <c r="J115" s="2">
        <v>130.30000000000001</v>
      </c>
      <c r="K115" s="2">
        <v>167.4</v>
      </c>
      <c r="L115" s="2">
        <v>98.8</v>
      </c>
      <c r="M115" s="2">
        <v>133.6</v>
      </c>
      <c r="N115" s="2">
        <v>123</v>
      </c>
      <c r="O115" s="2">
        <v>135.80000000000001</v>
      </c>
      <c r="P115" s="2">
        <v>129.9</v>
      </c>
      <c r="Q115" s="2">
        <v>135.9</v>
      </c>
      <c r="R115" s="2">
        <v>130.9</v>
      </c>
      <c r="S115" s="2">
        <v>125.8</v>
      </c>
      <c r="T115" s="2">
        <v>130.19999999999999</v>
      </c>
      <c r="U115" s="2" t="s">
        <v>81</v>
      </c>
      <c r="V115" s="2">
        <v>123.1</v>
      </c>
      <c r="W115" s="2">
        <v>124.6</v>
      </c>
      <c r="X115" s="2">
        <v>122.5</v>
      </c>
      <c r="Y115" s="2">
        <v>111.4</v>
      </c>
      <c r="Z115" s="2">
        <v>120.3</v>
      </c>
      <c r="AA115" s="2">
        <v>126.6</v>
      </c>
      <c r="AB115" s="2">
        <v>116.6</v>
      </c>
      <c r="AC115" s="2">
        <v>119.1</v>
      </c>
      <c r="AD115" s="2">
        <v>126</v>
      </c>
    </row>
    <row r="116" spans="1:30" x14ac:dyDescent="0.35">
      <c r="A116" s="2" t="s">
        <v>30</v>
      </c>
      <c r="B116" s="2">
        <v>2016</v>
      </c>
      <c r="C116" s="2" t="s">
        <v>38</v>
      </c>
      <c r="D116" s="2">
        <v>127.3</v>
      </c>
      <c r="E116" s="2">
        <v>134.4</v>
      </c>
      <c r="F116" s="2">
        <v>125.1</v>
      </c>
      <c r="G116" s="2">
        <v>130.5</v>
      </c>
      <c r="H116" s="2">
        <v>118.3</v>
      </c>
      <c r="I116" s="2">
        <v>131.69999999999999</v>
      </c>
      <c r="J116" s="2">
        <v>130.69999999999999</v>
      </c>
      <c r="K116" s="2">
        <v>161.19999999999999</v>
      </c>
      <c r="L116" s="2">
        <v>100.4</v>
      </c>
      <c r="M116" s="2">
        <v>130.80000000000001</v>
      </c>
      <c r="N116" s="2">
        <v>124.9</v>
      </c>
      <c r="O116" s="2">
        <v>137</v>
      </c>
      <c r="P116" s="2">
        <v>130.4</v>
      </c>
      <c r="Q116" s="2">
        <v>135</v>
      </c>
      <c r="R116" s="2">
        <v>134.4</v>
      </c>
      <c r="S116" s="2">
        <v>130.19999999999999</v>
      </c>
      <c r="T116" s="2">
        <v>133.80000000000001</v>
      </c>
      <c r="U116" s="2" t="s">
        <v>32</v>
      </c>
      <c r="V116" s="2">
        <v>127</v>
      </c>
      <c r="W116" s="2">
        <v>127.7</v>
      </c>
      <c r="X116" s="2">
        <v>124.8</v>
      </c>
      <c r="Y116" s="2">
        <v>113.6</v>
      </c>
      <c r="Z116" s="2">
        <v>122.5</v>
      </c>
      <c r="AA116" s="2">
        <v>127.5</v>
      </c>
      <c r="AB116" s="2">
        <v>117.4</v>
      </c>
      <c r="AC116" s="2">
        <v>121.1</v>
      </c>
      <c r="AD116" s="2">
        <v>128</v>
      </c>
    </row>
    <row r="117" spans="1:30" x14ac:dyDescent="0.35">
      <c r="A117" s="2" t="s">
        <v>33</v>
      </c>
      <c r="B117" s="2">
        <v>2016</v>
      </c>
      <c r="C117" s="2" t="s">
        <v>38</v>
      </c>
      <c r="D117" s="2">
        <v>124.8</v>
      </c>
      <c r="E117" s="2">
        <v>136.30000000000001</v>
      </c>
      <c r="F117" s="2">
        <v>123.7</v>
      </c>
      <c r="G117" s="2">
        <v>129.69999999999999</v>
      </c>
      <c r="H117" s="2">
        <v>107.9</v>
      </c>
      <c r="I117" s="2">
        <v>119.9</v>
      </c>
      <c r="J117" s="2">
        <v>128.1</v>
      </c>
      <c r="K117" s="2">
        <v>170.3</v>
      </c>
      <c r="L117" s="2">
        <v>101.8</v>
      </c>
      <c r="M117" s="2">
        <v>140.1</v>
      </c>
      <c r="N117" s="2">
        <v>120.7</v>
      </c>
      <c r="O117" s="2">
        <v>135.4</v>
      </c>
      <c r="P117" s="2">
        <v>128.9</v>
      </c>
      <c r="Q117" s="2">
        <v>140.6</v>
      </c>
      <c r="R117" s="2">
        <v>126.4</v>
      </c>
      <c r="S117" s="2">
        <v>120.3</v>
      </c>
      <c r="T117" s="2">
        <v>125.5</v>
      </c>
      <c r="U117" s="2" t="s">
        <v>82</v>
      </c>
      <c r="V117" s="2">
        <v>114.8</v>
      </c>
      <c r="W117" s="2">
        <v>122.3</v>
      </c>
      <c r="X117" s="2">
        <v>119.7</v>
      </c>
      <c r="Y117" s="2">
        <v>108.5</v>
      </c>
      <c r="Z117" s="2">
        <v>119.1</v>
      </c>
      <c r="AA117" s="2">
        <v>126.4</v>
      </c>
      <c r="AB117" s="2">
        <v>117.1</v>
      </c>
      <c r="AC117" s="2">
        <v>117.3</v>
      </c>
      <c r="AD117" s="2">
        <v>123.8</v>
      </c>
    </row>
    <row r="118" spans="1:30" x14ac:dyDescent="0.35">
      <c r="A118" s="2" t="s">
        <v>35</v>
      </c>
      <c r="B118" s="2">
        <v>2016</v>
      </c>
      <c r="C118" s="2" t="s">
        <v>38</v>
      </c>
      <c r="D118" s="2">
        <v>126.5</v>
      </c>
      <c r="E118" s="2">
        <v>135.1</v>
      </c>
      <c r="F118" s="2">
        <v>124.6</v>
      </c>
      <c r="G118" s="2">
        <v>130.19999999999999</v>
      </c>
      <c r="H118" s="2">
        <v>114.5</v>
      </c>
      <c r="I118" s="2">
        <v>126.2</v>
      </c>
      <c r="J118" s="2">
        <v>129.80000000000001</v>
      </c>
      <c r="K118" s="2">
        <v>164.3</v>
      </c>
      <c r="L118" s="2">
        <v>100.9</v>
      </c>
      <c r="M118" s="2">
        <v>133.9</v>
      </c>
      <c r="N118" s="2">
        <v>123.1</v>
      </c>
      <c r="O118" s="2">
        <v>136.30000000000001</v>
      </c>
      <c r="P118" s="2">
        <v>129.80000000000001</v>
      </c>
      <c r="Q118" s="2">
        <v>136.5</v>
      </c>
      <c r="R118" s="2">
        <v>131.30000000000001</v>
      </c>
      <c r="S118" s="2">
        <v>126.1</v>
      </c>
      <c r="T118" s="2">
        <v>130.5</v>
      </c>
      <c r="U118" s="2" t="s">
        <v>82</v>
      </c>
      <c r="V118" s="2">
        <v>122.4</v>
      </c>
      <c r="W118" s="2">
        <v>125.1</v>
      </c>
      <c r="X118" s="2">
        <v>122.9</v>
      </c>
      <c r="Y118" s="2">
        <v>110.9</v>
      </c>
      <c r="Z118" s="2">
        <v>120.6</v>
      </c>
      <c r="AA118" s="2">
        <v>126.9</v>
      </c>
      <c r="AB118" s="2">
        <v>117.3</v>
      </c>
      <c r="AC118" s="2">
        <v>119.3</v>
      </c>
      <c r="AD118" s="2">
        <v>126</v>
      </c>
    </row>
    <row r="119" spans="1:30" x14ac:dyDescent="0.35">
      <c r="A119" s="2" t="s">
        <v>30</v>
      </c>
      <c r="B119" s="2">
        <v>2016</v>
      </c>
      <c r="C119" s="2" t="s">
        <v>39</v>
      </c>
      <c r="D119" s="2">
        <v>127.4</v>
      </c>
      <c r="E119" s="2">
        <v>135.4</v>
      </c>
      <c r="F119" s="2">
        <v>123.4</v>
      </c>
      <c r="G119" s="2">
        <v>131.30000000000001</v>
      </c>
      <c r="H119" s="2">
        <v>118.2</v>
      </c>
      <c r="I119" s="2">
        <v>138.1</v>
      </c>
      <c r="J119" s="2">
        <v>134.1</v>
      </c>
      <c r="K119" s="2">
        <v>162.69999999999999</v>
      </c>
      <c r="L119" s="2">
        <v>105</v>
      </c>
      <c r="M119" s="2">
        <v>131.4</v>
      </c>
      <c r="N119" s="2">
        <v>125.4</v>
      </c>
      <c r="O119" s="2">
        <v>137.4</v>
      </c>
      <c r="P119" s="2">
        <v>131.80000000000001</v>
      </c>
      <c r="Q119" s="2">
        <v>135.5</v>
      </c>
      <c r="R119" s="2">
        <v>135</v>
      </c>
      <c r="S119" s="2">
        <v>130.6</v>
      </c>
      <c r="T119" s="2">
        <v>134.4</v>
      </c>
      <c r="U119" s="2" t="s">
        <v>32</v>
      </c>
      <c r="V119" s="2">
        <v>127</v>
      </c>
      <c r="W119" s="2">
        <v>128</v>
      </c>
      <c r="X119" s="2">
        <v>125.2</v>
      </c>
      <c r="Y119" s="2">
        <v>114.4</v>
      </c>
      <c r="Z119" s="2">
        <v>123.2</v>
      </c>
      <c r="AA119" s="2">
        <v>127.9</v>
      </c>
      <c r="AB119" s="2">
        <v>118.4</v>
      </c>
      <c r="AC119" s="2">
        <v>121.7</v>
      </c>
      <c r="AD119" s="2">
        <v>129</v>
      </c>
    </row>
    <row r="120" spans="1:30" x14ac:dyDescent="0.35">
      <c r="A120" s="2" t="s">
        <v>33</v>
      </c>
      <c r="B120" s="2">
        <v>2016</v>
      </c>
      <c r="C120" s="2" t="s">
        <v>39</v>
      </c>
      <c r="D120" s="2">
        <v>124.9</v>
      </c>
      <c r="E120" s="2">
        <v>139.30000000000001</v>
      </c>
      <c r="F120" s="2">
        <v>119.9</v>
      </c>
      <c r="G120" s="2">
        <v>130.19999999999999</v>
      </c>
      <c r="H120" s="2">
        <v>108.9</v>
      </c>
      <c r="I120" s="2">
        <v>131.1</v>
      </c>
      <c r="J120" s="2">
        <v>136.80000000000001</v>
      </c>
      <c r="K120" s="2">
        <v>176.9</v>
      </c>
      <c r="L120" s="2">
        <v>109.1</v>
      </c>
      <c r="M120" s="2">
        <v>140.4</v>
      </c>
      <c r="N120" s="2">
        <v>121.1</v>
      </c>
      <c r="O120" s="2">
        <v>135.9</v>
      </c>
      <c r="P120" s="2">
        <v>131.80000000000001</v>
      </c>
      <c r="Q120" s="2">
        <v>141.5</v>
      </c>
      <c r="R120" s="2">
        <v>126.8</v>
      </c>
      <c r="S120" s="2">
        <v>120.5</v>
      </c>
      <c r="T120" s="2">
        <v>125.8</v>
      </c>
      <c r="U120" s="2" t="s">
        <v>83</v>
      </c>
      <c r="V120" s="2">
        <v>114.6</v>
      </c>
      <c r="W120" s="2">
        <v>122.8</v>
      </c>
      <c r="X120" s="2">
        <v>120</v>
      </c>
      <c r="Y120" s="2">
        <v>110</v>
      </c>
      <c r="Z120" s="2">
        <v>119.5</v>
      </c>
      <c r="AA120" s="2">
        <v>127.6</v>
      </c>
      <c r="AB120" s="2">
        <v>117.6</v>
      </c>
      <c r="AC120" s="2">
        <v>118.2</v>
      </c>
      <c r="AD120" s="2">
        <v>125.3</v>
      </c>
    </row>
    <row r="121" spans="1:30" x14ac:dyDescent="0.35">
      <c r="A121" s="2" t="s">
        <v>35</v>
      </c>
      <c r="B121" s="2">
        <v>2016</v>
      </c>
      <c r="C121" s="2" t="s">
        <v>39</v>
      </c>
      <c r="D121" s="2">
        <v>126.6</v>
      </c>
      <c r="E121" s="2">
        <v>136.80000000000001</v>
      </c>
      <c r="F121" s="2">
        <v>122</v>
      </c>
      <c r="G121" s="2">
        <v>130.9</v>
      </c>
      <c r="H121" s="2">
        <v>114.8</v>
      </c>
      <c r="I121" s="2">
        <v>134.80000000000001</v>
      </c>
      <c r="J121" s="2">
        <v>135</v>
      </c>
      <c r="K121" s="2">
        <v>167.5</v>
      </c>
      <c r="L121" s="2">
        <v>106.4</v>
      </c>
      <c r="M121" s="2">
        <v>134.4</v>
      </c>
      <c r="N121" s="2">
        <v>123.6</v>
      </c>
      <c r="O121" s="2">
        <v>136.69999999999999</v>
      </c>
      <c r="P121" s="2">
        <v>131.80000000000001</v>
      </c>
      <c r="Q121" s="2">
        <v>137.1</v>
      </c>
      <c r="R121" s="2">
        <v>131.80000000000001</v>
      </c>
      <c r="S121" s="2">
        <v>126.4</v>
      </c>
      <c r="T121" s="2">
        <v>131</v>
      </c>
      <c r="U121" s="2" t="s">
        <v>83</v>
      </c>
      <c r="V121" s="2">
        <v>122.3</v>
      </c>
      <c r="W121" s="2">
        <v>125.5</v>
      </c>
      <c r="X121" s="2">
        <v>123.2</v>
      </c>
      <c r="Y121" s="2">
        <v>112.1</v>
      </c>
      <c r="Z121" s="2">
        <v>121.1</v>
      </c>
      <c r="AA121" s="2">
        <v>127.7</v>
      </c>
      <c r="AB121" s="2">
        <v>118.1</v>
      </c>
      <c r="AC121" s="2">
        <v>120</v>
      </c>
      <c r="AD121" s="2">
        <v>127.3</v>
      </c>
    </row>
    <row r="122" spans="1:30" x14ac:dyDescent="0.35">
      <c r="A122" s="2" t="s">
        <v>30</v>
      </c>
      <c r="B122" s="2">
        <v>2016</v>
      </c>
      <c r="C122" s="2" t="s">
        <v>41</v>
      </c>
      <c r="D122" s="2">
        <v>127.6</v>
      </c>
      <c r="E122" s="2">
        <v>137.5</v>
      </c>
      <c r="F122" s="2">
        <v>124.4</v>
      </c>
      <c r="G122" s="2">
        <v>132.4</v>
      </c>
      <c r="H122" s="2">
        <v>118.2</v>
      </c>
      <c r="I122" s="2">
        <v>138.1</v>
      </c>
      <c r="J122" s="2">
        <v>141.80000000000001</v>
      </c>
      <c r="K122" s="2">
        <v>166</v>
      </c>
      <c r="L122" s="2">
        <v>107.5</v>
      </c>
      <c r="M122" s="2">
        <v>132.19999999999999</v>
      </c>
      <c r="N122" s="2">
        <v>126.1</v>
      </c>
      <c r="O122" s="2">
        <v>138.30000000000001</v>
      </c>
      <c r="P122" s="2">
        <v>133.6</v>
      </c>
      <c r="Q122" s="2">
        <v>136</v>
      </c>
      <c r="R122" s="2">
        <v>135.4</v>
      </c>
      <c r="S122" s="2">
        <v>131.1</v>
      </c>
      <c r="T122" s="2">
        <v>134.80000000000001</v>
      </c>
      <c r="U122" s="2" t="s">
        <v>32</v>
      </c>
      <c r="V122" s="2">
        <v>127.4</v>
      </c>
      <c r="W122" s="2">
        <v>128.5</v>
      </c>
      <c r="X122" s="2">
        <v>125.8</v>
      </c>
      <c r="Y122" s="2">
        <v>115.1</v>
      </c>
      <c r="Z122" s="2">
        <v>123.6</v>
      </c>
      <c r="AA122" s="2">
        <v>129.1</v>
      </c>
      <c r="AB122" s="2">
        <v>119.7</v>
      </c>
      <c r="AC122" s="2">
        <v>122.5</v>
      </c>
      <c r="AD122" s="2">
        <v>130.30000000000001</v>
      </c>
    </row>
    <row r="123" spans="1:30" x14ac:dyDescent="0.35">
      <c r="A123" s="2" t="s">
        <v>33</v>
      </c>
      <c r="B123" s="2">
        <v>2016</v>
      </c>
      <c r="C123" s="2" t="s">
        <v>41</v>
      </c>
      <c r="D123" s="2">
        <v>125</v>
      </c>
      <c r="E123" s="2">
        <v>142.1</v>
      </c>
      <c r="F123" s="2">
        <v>127</v>
      </c>
      <c r="G123" s="2">
        <v>130.4</v>
      </c>
      <c r="H123" s="2">
        <v>109.6</v>
      </c>
      <c r="I123" s="2">
        <v>133.5</v>
      </c>
      <c r="J123" s="2">
        <v>151.4</v>
      </c>
      <c r="K123" s="2">
        <v>182.8</v>
      </c>
      <c r="L123" s="2">
        <v>111.1</v>
      </c>
      <c r="M123" s="2">
        <v>141.5</v>
      </c>
      <c r="N123" s="2">
        <v>121.5</v>
      </c>
      <c r="O123" s="2">
        <v>136.30000000000001</v>
      </c>
      <c r="P123" s="2">
        <v>134.6</v>
      </c>
      <c r="Q123" s="2">
        <v>142.19999999999999</v>
      </c>
      <c r="R123" s="2">
        <v>127.2</v>
      </c>
      <c r="S123" s="2">
        <v>120.7</v>
      </c>
      <c r="T123" s="2">
        <v>126.2</v>
      </c>
      <c r="U123" s="2" t="s">
        <v>84</v>
      </c>
      <c r="V123" s="2">
        <v>115</v>
      </c>
      <c r="W123" s="2">
        <v>123.2</v>
      </c>
      <c r="X123" s="2">
        <v>120.3</v>
      </c>
      <c r="Y123" s="2">
        <v>110.7</v>
      </c>
      <c r="Z123" s="2">
        <v>119.8</v>
      </c>
      <c r="AA123" s="2">
        <v>128</v>
      </c>
      <c r="AB123" s="2">
        <v>118.5</v>
      </c>
      <c r="AC123" s="2">
        <v>118.7</v>
      </c>
      <c r="AD123" s="2">
        <v>126.6</v>
      </c>
    </row>
    <row r="124" spans="1:30" x14ac:dyDescent="0.35">
      <c r="A124" s="2" t="s">
        <v>35</v>
      </c>
      <c r="B124" s="2">
        <v>2016</v>
      </c>
      <c r="C124" s="2" t="s">
        <v>41</v>
      </c>
      <c r="D124" s="2">
        <v>126.8</v>
      </c>
      <c r="E124" s="2">
        <v>139.1</v>
      </c>
      <c r="F124" s="2">
        <v>125.4</v>
      </c>
      <c r="G124" s="2">
        <v>131.69999999999999</v>
      </c>
      <c r="H124" s="2">
        <v>115</v>
      </c>
      <c r="I124" s="2">
        <v>136</v>
      </c>
      <c r="J124" s="2">
        <v>145.1</v>
      </c>
      <c r="K124" s="2">
        <v>171.7</v>
      </c>
      <c r="L124" s="2">
        <v>108.7</v>
      </c>
      <c r="M124" s="2">
        <v>135.30000000000001</v>
      </c>
      <c r="N124" s="2">
        <v>124.2</v>
      </c>
      <c r="O124" s="2">
        <v>137.4</v>
      </c>
      <c r="P124" s="2">
        <v>134</v>
      </c>
      <c r="Q124" s="2">
        <v>137.69999999999999</v>
      </c>
      <c r="R124" s="2">
        <v>132.19999999999999</v>
      </c>
      <c r="S124" s="2">
        <v>126.8</v>
      </c>
      <c r="T124" s="2">
        <v>131.4</v>
      </c>
      <c r="U124" s="2" t="s">
        <v>84</v>
      </c>
      <c r="V124" s="2">
        <v>122.7</v>
      </c>
      <c r="W124" s="2">
        <v>126</v>
      </c>
      <c r="X124" s="2">
        <v>123.7</v>
      </c>
      <c r="Y124" s="2">
        <v>112.8</v>
      </c>
      <c r="Z124" s="2">
        <v>121.5</v>
      </c>
      <c r="AA124" s="2">
        <v>128.5</v>
      </c>
      <c r="AB124" s="2">
        <v>119.2</v>
      </c>
      <c r="AC124" s="2">
        <v>120.7</v>
      </c>
      <c r="AD124" s="2">
        <v>128.6</v>
      </c>
    </row>
    <row r="125" spans="1:30" x14ac:dyDescent="0.35">
      <c r="A125" s="2" t="s">
        <v>30</v>
      </c>
      <c r="B125" s="2">
        <v>2016</v>
      </c>
      <c r="C125" s="2" t="s">
        <v>42</v>
      </c>
      <c r="D125" s="2">
        <v>128.6</v>
      </c>
      <c r="E125" s="2">
        <v>138.6</v>
      </c>
      <c r="F125" s="2">
        <v>126.6</v>
      </c>
      <c r="G125" s="2">
        <v>133.6</v>
      </c>
      <c r="H125" s="2">
        <v>118.6</v>
      </c>
      <c r="I125" s="2">
        <v>137.4</v>
      </c>
      <c r="J125" s="2">
        <v>152.5</v>
      </c>
      <c r="K125" s="2">
        <v>169.2</v>
      </c>
      <c r="L125" s="2">
        <v>108.8</v>
      </c>
      <c r="M125" s="2">
        <v>133.1</v>
      </c>
      <c r="N125" s="2">
        <v>126.4</v>
      </c>
      <c r="O125" s="2">
        <v>139.19999999999999</v>
      </c>
      <c r="P125" s="2">
        <v>136</v>
      </c>
      <c r="Q125" s="2">
        <v>137.19999999999999</v>
      </c>
      <c r="R125" s="2">
        <v>136.30000000000001</v>
      </c>
      <c r="S125" s="2">
        <v>131.6</v>
      </c>
      <c r="T125" s="2">
        <v>135.6</v>
      </c>
      <c r="U125" s="2" t="s">
        <v>32</v>
      </c>
      <c r="V125" s="2">
        <v>128</v>
      </c>
      <c r="W125" s="2">
        <v>129.30000000000001</v>
      </c>
      <c r="X125" s="2">
        <v>126.2</v>
      </c>
      <c r="Y125" s="2">
        <v>116.3</v>
      </c>
      <c r="Z125" s="2">
        <v>124.1</v>
      </c>
      <c r="AA125" s="2">
        <v>130.19999999999999</v>
      </c>
      <c r="AB125" s="2">
        <v>119.9</v>
      </c>
      <c r="AC125" s="2">
        <v>123.3</v>
      </c>
      <c r="AD125" s="2">
        <v>131.9</v>
      </c>
    </row>
    <row r="126" spans="1:30" x14ac:dyDescent="0.35">
      <c r="A126" s="2" t="s">
        <v>33</v>
      </c>
      <c r="B126" s="2">
        <v>2016</v>
      </c>
      <c r="C126" s="2" t="s">
        <v>42</v>
      </c>
      <c r="D126" s="2">
        <v>125.9</v>
      </c>
      <c r="E126" s="2">
        <v>143.9</v>
      </c>
      <c r="F126" s="2">
        <v>130.9</v>
      </c>
      <c r="G126" s="2">
        <v>131</v>
      </c>
      <c r="H126" s="2">
        <v>110.2</v>
      </c>
      <c r="I126" s="2">
        <v>135.5</v>
      </c>
      <c r="J126" s="2">
        <v>173.7</v>
      </c>
      <c r="K126" s="2">
        <v>184.4</v>
      </c>
      <c r="L126" s="2">
        <v>112</v>
      </c>
      <c r="M126" s="2">
        <v>142.80000000000001</v>
      </c>
      <c r="N126" s="2">
        <v>121.6</v>
      </c>
      <c r="O126" s="2">
        <v>136.9</v>
      </c>
      <c r="P126" s="2">
        <v>138.19999999999999</v>
      </c>
      <c r="Q126" s="2">
        <v>142.69999999999999</v>
      </c>
      <c r="R126" s="2">
        <v>127.6</v>
      </c>
      <c r="S126" s="2">
        <v>121.1</v>
      </c>
      <c r="T126" s="2">
        <v>126.6</v>
      </c>
      <c r="U126" s="2" t="s">
        <v>85</v>
      </c>
      <c r="V126" s="2">
        <v>115.5</v>
      </c>
      <c r="W126" s="2">
        <v>123.2</v>
      </c>
      <c r="X126" s="2">
        <v>120.6</v>
      </c>
      <c r="Y126" s="2">
        <v>112.3</v>
      </c>
      <c r="Z126" s="2">
        <v>119.9</v>
      </c>
      <c r="AA126" s="2">
        <v>129.30000000000001</v>
      </c>
      <c r="AB126" s="2">
        <v>118.8</v>
      </c>
      <c r="AC126" s="2">
        <v>119.6</v>
      </c>
      <c r="AD126" s="2">
        <v>128.1</v>
      </c>
    </row>
    <row r="127" spans="1:30" x14ac:dyDescent="0.35">
      <c r="A127" s="2" t="s">
        <v>35</v>
      </c>
      <c r="B127" s="2">
        <v>2016</v>
      </c>
      <c r="C127" s="2" t="s">
        <v>42</v>
      </c>
      <c r="D127" s="2">
        <v>127.7</v>
      </c>
      <c r="E127" s="2">
        <v>140.5</v>
      </c>
      <c r="F127" s="2">
        <v>128.30000000000001</v>
      </c>
      <c r="G127" s="2">
        <v>132.6</v>
      </c>
      <c r="H127" s="2">
        <v>115.5</v>
      </c>
      <c r="I127" s="2">
        <v>136.5</v>
      </c>
      <c r="J127" s="2">
        <v>159.69999999999999</v>
      </c>
      <c r="K127" s="2">
        <v>174.3</v>
      </c>
      <c r="L127" s="2">
        <v>109.9</v>
      </c>
      <c r="M127" s="2">
        <v>136.30000000000001</v>
      </c>
      <c r="N127" s="2">
        <v>124.4</v>
      </c>
      <c r="O127" s="2">
        <v>138.1</v>
      </c>
      <c r="P127" s="2">
        <v>136.80000000000001</v>
      </c>
      <c r="Q127" s="2">
        <v>138.69999999999999</v>
      </c>
      <c r="R127" s="2">
        <v>132.9</v>
      </c>
      <c r="S127" s="2">
        <v>127.2</v>
      </c>
      <c r="T127" s="2">
        <v>132</v>
      </c>
      <c r="U127" s="2" t="s">
        <v>85</v>
      </c>
      <c r="V127" s="2">
        <v>123.3</v>
      </c>
      <c r="W127" s="2">
        <v>126.4</v>
      </c>
      <c r="X127" s="2">
        <v>124.1</v>
      </c>
      <c r="Y127" s="2">
        <v>114.2</v>
      </c>
      <c r="Z127" s="2">
        <v>121.7</v>
      </c>
      <c r="AA127" s="2">
        <v>129.69999999999999</v>
      </c>
      <c r="AB127" s="2">
        <v>119.4</v>
      </c>
      <c r="AC127" s="2">
        <v>121.5</v>
      </c>
      <c r="AD127" s="2">
        <v>130.1</v>
      </c>
    </row>
    <row r="128" spans="1:30" x14ac:dyDescent="0.35">
      <c r="A128" s="2" t="s">
        <v>30</v>
      </c>
      <c r="B128" s="2">
        <v>2016</v>
      </c>
      <c r="C128" s="2" t="s">
        <v>44</v>
      </c>
      <c r="D128" s="2">
        <v>129.30000000000001</v>
      </c>
      <c r="E128" s="2">
        <v>139.5</v>
      </c>
      <c r="F128" s="2">
        <v>129.6</v>
      </c>
      <c r="G128" s="2">
        <v>134.5</v>
      </c>
      <c r="H128" s="2">
        <v>119.5</v>
      </c>
      <c r="I128" s="2">
        <v>138.5</v>
      </c>
      <c r="J128" s="2">
        <v>158.19999999999999</v>
      </c>
      <c r="K128" s="2">
        <v>171.8</v>
      </c>
      <c r="L128" s="2">
        <v>110.3</v>
      </c>
      <c r="M128" s="2">
        <v>134.30000000000001</v>
      </c>
      <c r="N128" s="2">
        <v>127.3</v>
      </c>
      <c r="O128" s="2">
        <v>139.9</v>
      </c>
      <c r="P128" s="2">
        <v>137.6</v>
      </c>
      <c r="Q128" s="2">
        <v>138</v>
      </c>
      <c r="R128" s="2">
        <v>137.19999999999999</v>
      </c>
      <c r="S128" s="2">
        <v>132.19999999999999</v>
      </c>
      <c r="T128" s="2">
        <v>136.5</v>
      </c>
      <c r="U128" s="2" t="s">
        <v>32</v>
      </c>
      <c r="V128" s="2">
        <v>128.19999999999999</v>
      </c>
      <c r="W128" s="2">
        <v>130</v>
      </c>
      <c r="X128" s="2">
        <v>126.7</v>
      </c>
      <c r="Y128" s="2">
        <v>116.4</v>
      </c>
      <c r="Z128" s="2">
        <v>125.2</v>
      </c>
      <c r="AA128" s="2">
        <v>130.80000000000001</v>
      </c>
      <c r="AB128" s="2">
        <v>120.9</v>
      </c>
      <c r="AC128" s="2">
        <v>123.8</v>
      </c>
      <c r="AD128" s="2">
        <v>133</v>
      </c>
    </row>
    <row r="129" spans="1:30" x14ac:dyDescent="0.35">
      <c r="A129" s="2" t="s">
        <v>33</v>
      </c>
      <c r="B129" s="2">
        <v>2016</v>
      </c>
      <c r="C129" s="2" t="s">
        <v>44</v>
      </c>
      <c r="D129" s="2">
        <v>126.8</v>
      </c>
      <c r="E129" s="2">
        <v>144.19999999999999</v>
      </c>
      <c r="F129" s="2">
        <v>136.6</v>
      </c>
      <c r="G129" s="2">
        <v>131.80000000000001</v>
      </c>
      <c r="H129" s="2">
        <v>111</v>
      </c>
      <c r="I129" s="2">
        <v>137</v>
      </c>
      <c r="J129" s="2">
        <v>179.5</v>
      </c>
      <c r="K129" s="2">
        <v>188.4</v>
      </c>
      <c r="L129" s="2">
        <v>113.3</v>
      </c>
      <c r="M129" s="2">
        <v>143.9</v>
      </c>
      <c r="N129" s="2">
        <v>121.7</v>
      </c>
      <c r="O129" s="2">
        <v>137.5</v>
      </c>
      <c r="P129" s="2">
        <v>139.80000000000001</v>
      </c>
      <c r="Q129" s="2">
        <v>142.9</v>
      </c>
      <c r="R129" s="2">
        <v>127.9</v>
      </c>
      <c r="S129" s="2">
        <v>121.1</v>
      </c>
      <c r="T129" s="2">
        <v>126.9</v>
      </c>
      <c r="U129" s="2" t="s">
        <v>86</v>
      </c>
      <c r="V129" s="2">
        <v>115.5</v>
      </c>
      <c r="W129" s="2">
        <v>123.5</v>
      </c>
      <c r="X129" s="2">
        <v>120.9</v>
      </c>
      <c r="Y129" s="2">
        <v>111.7</v>
      </c>
      <c r="Z129" s="2">
        <v>120.3</v>
      </c>
      <c r="AA129" s="2">
        <v>130.80000000000001</v>
      </c>
      <c r="AB129" s="2">
        <v>120</v>
      </c>
      <c r="AC129" s="2">
        <v>119.9</v>
      </c>
      <c r="AD129" s="2">
        <v>129</v>
      </c>
    </row>
    <row r="130" spans="1:30" x14ac:dyDescent="0.35">
      <c r="A130" s="2" t="s">
        <v>35</v>
      </c>
      <c r="B130" s="2">
        <v>2016</v>
      </c>
      <c r="C130" s="2" t="s">
        <v>44</v>
      </c>
      <c r="D130" s="2">
        <v>128.5</v>
      </c>
      <c r="E130" s="2">
        <v>141.19999999999999</v>
      </c>
      <c r="F130" s="2">
        <v>132.30000000000001</v>
      </c>
      <c r="G130" s="2">
        <v>133.5</v>
      </c>
      <c r="H130" s="2">
        <v>116.4</v>
      </c>
      <c r="I130" s="2">
        <v>137.80000000000001</v>
      </c>
      <c r="J130" s="2">
        <v>165.4</v>
      </c>
      <c r="K130" s="2">
        <v>177.4</v>
      </c>
      <c r="L130" s="2">
        <v>111.3</v>
      </c>
      <c r="M130" s="2">
        <v>137.5</v>
      </c>
      <c r="N130" s="2">
        <v>125</v>
      </c>
      <c r="O130" s="2">
        <v>138.80000000000001</v>
      </c>
      <c r="P130" s="2">
        <v>138.4</v>
      </c>
      <c r="Q130" s="2">
        <v>139.30000000000001</v>
      </c>
      <c r="R130" s="2">
        <v>133.5</v>
      </c>
      <c r="S130" s="2">
        <v>127.6</v>
      </c>
      <c r="T130" s="2">
        <v>132.69999999999999</v>
      </c>
      <c r="U130" s="2" t="s">
        <v>86</v>
      </c>
      <c r="V130" s="2">
        <v>123.4</v>
      </c>
      <c r="W130" s="2">
        <v>126.9</v>
      </c>
      <c r="X130" s="2">
        <v>124.5</v>
      </c>
      <c r="Y130" s="2">
        <v>113.9</v>
      </c>
      <c r="Z130" s="2">
        <v>122.4</v>
      </c>
      <c r="AA130" s="2">
        <v>130.80000000000001</v>
      </c>
      <c r="AB130" s="2">
        <v>120.5</v>
      </c>
      <c r="AC130" s="2">
        <v>121.9</v>
      </c>
      <c r="AD130" s="2">
        <v>131.1</v>
      </c>
    </row>
    <row r="131" spans="1:30" x14ac:dyDescent="0.35">
      <c r="A131" s="2" t="s">
        <v>30</v>
      </c>
      <c r="B131" s="2">
        <v>2016</v>
      </c>
      <c r="C131" s="2" t="s">
        <v>46</v>
      </c>
      <c r="D131" s="2">
        <v>130.1</v>
      </c>
      <c r="E131" s="2">
        <v>138.80000000000001</v>
      </c>
      <c r="F131" s="2">
        <v>130.30000000000001</v>
      </c>
      <c r="G131" s="2">
        <v>135.30000000000001</v>
      </c>
      <c r="H131" s="2">
        <v>119.9</v>
      </c>
      <c r="I131" s="2">
        <v>140.19999999999999</v>
      </c>
      <c r="J131" s="2">
        <v>156.9</v>
      </c>
      <c r="K131" s="2">
        <v>172.2</v>
      </c>
      <c r="L131" s="2">
        <v>112.1</v>
      </c>
      <c r="M131" s="2">
        <v>134.9</v>
      </c>
      <c r="N131" s="2">
        <v>128.1</v>
      </c>
      <c r="O131" s="2">
        <v>140.69999999999999</v>
      </c>
      <c r="P131" s="2">
        <v>138</v>
      </c>
      <c r="Q131" s="2">
        <v>138.9</v>
      </c>
      <c r="R131" s="2">
        <v>137.80000000000001</v>
      </c>
      <c r="S131" s="2">
        <v>133</v>
      </c>
      <c r="T131" s="2">
        <v>137.1</v>
      </c>
      <c r="U131" s="2" t="s">
        <v>32</v>
      </c>
      <c r="V131" s="2">
        <v>129.1</v>
      </c>
      <c r="W131" s="2">
        <v>130.6</v>
      </c>
      <c r="X131" s="2">
        <v>127</v>
      </c>
      <c r="Y131" s="2">
        <v>116</v>
      </c>
      <c r="Z131" s="2">
        <v>125.5</v>
      </c>
      <c r="AA131" s="2">
        <v>131.9</v>
      </c>
      <c r="AB131" s="2">
        <v>122</v>
      </c>
      <c r="AC131" s="2">
        <v>124.2</v>
      </c>
      <c r="AD131" s="2">
        <v>133.5</v>
      </c>
    </row>
    <row r="132" spans="1:30" x14ac:dyDescent="0.35">
      <c r="A132" s="2" t="s">
        <v>33</v>
      </c>
      <c r="B132" s="2">
        <v>2016</v>
      </c>
      <c r="C132" s="2" t="s">
        <v>46</v>
      </c>
      <c r="D132" s="2">
        <v>127.6</v>
      </c>
      <c r="E132" s="2">
        <v>140.30000000000001</v>
      </c>
      <c r="F132" s="2">
        <v>133.69999999999999</v>
      </c>
      <c r="G132" s="2">
        <v>132.19999999999999</v>
      </c>
      <c r="H132" s="2">
        <v>111.8</v>
      </c>
      <c r="I132" s="2">
        <v>135.80000000000001</v>
      </c>
      <c r="J132" s="2">
        <v>163.5</v>
      </c>
      <c r="K132" s="2">
        <v>182.3</v>
      </c>
      <c r="L132" s="2">
        <v>114.6</v>
      </c>
      <c r="M132" s="2">
        <v>144.6</v>
      </c>
      <c r="N132" s="2">
        <v>121.9</v>
      </c>
      <c r="O132" s="2">
        <v>138.1</v>
      </c>
      <c r="P132" s="2">
        <v>137.6</v>
      </c>
      <c r="Q132" s="2">
        <v>143.6</v>
      </c>
      <c r="R132" s="2">
        <v>128.30000000000001</v>
      </c>
      <c r="S132" s="2">
        <v>121.4</v>
      </c>
      <c r="T132" s="2">
        <v>127.3</v>
      </c>
      <c r="U132" s="2" t="s">
        <v>87</v>
      </c>
      <c r="V132" s="2">
        <v>114.7</v>
      </c>
      <c r="W132" s="2">
        <v>123.9</v>
      </c>
      <c r="X132" s="2">
        <v>121.2</v>
      </c>
      <c r="Y132" s="2">
        <v>110.4</v>
      </c>
      <c r="Z132" s="2">
        <v>120.6</v>
      </c>
      <c r="AA132" s="2">
        <v>131.5</v>
      </c>
      <c r="AB132" s="2">
        <v>120.9</v>
      </c>
      <c r="AC132" s="2">
        <v>119.9</v>
      </c>
      <c r="AD132" s="2">
        <v>128.4</v>
      </c>
    </row>
    <row r="133" spans="1:30" x14ac:dyDescent="0.35">
      <c r="A133" s="2" t="s">
        <v>35</v>
      </c>
      <c r="B133" s="2">
        <v>2016</v>
      </c>
      <c r="C133" s="2" t="s">
        <v>46</v>
      </c>
      <c r="D133" s="2">
        <v>129.30000000000001</v>
      </c>
      <c r="E133" s="2">
        <v>139.30000000000001</v>
      </c>
      <c r="F133" s="2">
        <v>131.6</v>
      </c>
      <c r="G133" s="2">
        <v>134.1</v>
      </c>
      <c r="H133" s="2">
        <v>116.9</v>
      </c>
      <c r="I133" s="2">
        <v>138.1</v>
      </c>
      <c r="J133" s="2">
        <v>159.1</v>
      </c>
      <c r="K133" s="2">
        <v>175.6</v>
      </c>
      <c r="L133" s="2">
        <v>112.9</v>
      </c>
      <c r="M133" s="2">
        <v>138.1</v>
      </c>
      <c r="N133" s="2">
        <v>125.5</v>
      </c>
      <c r="O133" s="2">
        <v>139.5</v>
      </c>
      <c r="P133" s="2">
        <v>137.9</v>
      </c>
      <c r="Q133" s="2">
        <v>140.19999999999999</v>
      </c>
      <c r="R133" s="2">
        <v>134.1</v>
      </c>
      <c r="S133" s="2">
        <v>128.19999999999999</v>
      </c>
      <c r="T133" s="2">
        <v>133.19999999999999</v>
      </c>
      <c r="U133" s="2" t="s">
        <v>87</v>
      </c>
      <c r="V133" s="2">
        <v>123.6</v>
      </c>
      <c r="W133" s="2">
        <v>127.4</v>
      </c>
      <c r="X133" s="2">
        <v>124.8</v>
      </c>
      <c r="Y133" s="2">
        <v>113.1</v>
      </c>
      <c r="Z133" s="2">
        <v>122.7</v>
      </c>
      <c r="AA133" s="2">
        <v>131.69999999999999</v>
      </c>
      <c r="AB133" s="2">
        <v>121.5</v>
      </c>
      <c r="AC133" s="2">
        <v>122.1</v>
      </c>
      <c r="AD133" s="2">
        <v>131.1</v>
      </c>
    </row>
    <row r="134" spans="1:30" x14ac:dyDescent="0.35">
      <c r="A134" s="2" t="s">
        <v>30</v>
      </c>
      <c r="B134" s="2">
        <v>2016</v>
      </c>
      <c r="C134" s="2" t="s">
        <v>48</v>
      </c>
      <c r="D134" s="2">
        <v>130.80000000000001</v>
      </c>
      <c r="E134" s="2">
        <v>138.19999999999999</v>
      </c>
      <c r="F134" s="2">
        <v>130.5</v>
      </c>
      <c r="G134" s="2">
        <v>135.5</v>
      </c>
      <c r="H134" s="2">
        <v>120.2</v>
      </c>
      <c r="I134" s="2">
        <v>139.19999999999999</v>
      </c>
      <c r="J134" s="2">
        <v>149.5</v>
      </c>
      <c r="K134" s="2">
        <v>170.4</v>
      </c>
      <c r="L134" s="2">
        <v>113.1</v>
      </c>
      <c r="M134" s="2">
        <v>135.80000000000001</v>
      </c>
      <c r="N134" s="2">
        <v>128.80000000000001</v>
      </c>
      <c r="O134" s="2">
        <v>141.5</v>
      </c>
      <c r="P134" s="2">
        <v>137.19999999999999</v>
      </c>
      <c r="Q134" s="2">
        <v>139.9</v>
      </c>
      <c r="R134" s="2">
        <v>138.5</v>
      </c>
      <c r="S134" s="2">
        <v>133.5</v>
      </c>
      <c r="T134" s="2">
        <v>137.80000000000001</v>
      </c>
      <c r="U134" s="2" t="s">
        <v>32</v>
      </c>
      <c r="V134" s="2">
        <v>129.69999999999999</v>
      </c>
      <c r="W134" s="2">
        <v>131.1</v>
      </c>
      <c r="X134" s="2">
        <v>127.8</v>
      </c>
      <c r="Y134" s="2">
        <v>117</v>
      </c>
      <c r="Z134" s="2">
        <v>125.7</v>
      </c>
      <c r="AA134" s="2">
        <v>132.19999999999999</v>
      </c>
      <c r="AB134" s="2">
        <v>122.8</v>
      </c>
      <c r="AC134" s="2">
        <v>124.9</v>
      </c>
      <c r="AD134" s="2">
        <v>133.4</v>
      </c>
    </row>
    <row r="135" spans="1:30" x14ac:dyDescent="0.35">
      <c r="A135" s="2" t="s">
        <v>33</v>
      </c>
      <c r="B135" s="2">
        <v>2016</v>
      </c>
      <c r="C135" s="2" t="s">
        <v>48</v>
      </c>
      <c r="D135" s="2">
        <v>128.1</v>
      </c>
      <c r="E135" s="2">
        <v>137.69999999999999</v>
      </c>
      <c r="F135" s="2">
        <v>130.6</v>
      </c>
      <c r="G135" s="2">
        <v>132.6</v>
      </c>
      <c r="H135" s="2">
        <v>111.9</v>
      </c>
      <c r="I135" s="2">
        <v>132.5</v>
      </c>
      <c r="J135" s="2">
        <v>152.9</v>
      </c>
      <c r="K135" s="2">
        <v>173.6</v>
      </c>
      <c r="L135" s="2">
        <v>115.1</v>
      </c>
      <c r="M135" s="2">
        <v>144.80000000000001</v>
      </c>
      <c r="N135" s="2">
        <v>122.1</v>
      </c>
      <c r="O135" s="2">
        <v>138.80000000000001</v>
      </c>
      <c r="P135" s="2">
        <v>135.69999999999999</v>
      </c>
      <c r="Q135" s="2">
        <v>143.9</v>
      </c>
      <c r="R135" s="2">
        <v>128.69999999999999</v>
      </c>
      <c r="S135" s="2">
        <v>121.6</v>
      </c>
      <c r="T135" s="2">
        <v>127.7</v>
      </c>
      <c r="U135" s="2" t="s">
        <v>88</v>
      </c>
      <c r="V135" s="2">
        <v>114.8</v>
      </c>
      <c r="W135" s="2">
        <v>124.3</v>
      </c>
      <c r="X135" s="2">
        <v>121.4</v>
      </c>
      <c r="Y135" s="2">
        <v>111.8</v>
      </c>
      <c r="Z135" s="2">
        <v>120.8</v>
      </c>
      <c r="AA135" s="2">
        <v>131.6</v>
      </c>
      <c r="AB135" s="2">
        <v>121.2</v>
      </c>
      <c r="AC135" s="2">
        <v>120.5</v>
      </c>
      <c r="AD135" s="2">
        <v>128</v>
      </c>
    </row>
    <row r="136" spans="1:30" x14ac:dyDescent="0.35">
      <c r="A136" s="2" t="s">
        <v>35</v>
      </c>
      <c r="B136" s="2">
        <v>2016</v>
      </c>
      <c r="C136" s="2" t="s">
        <v>48</v>
      </c>
      <c r="D136" s="2">
        <v>129.9</v>
      </c>
      <c r="E136" s="2">
        <v>138</v>
      </c>
      <c r="F136" s="2">
        <v>130.5</v>
      </c>
      <c r="G136" s="2">
        <v>134.4</v>
      </c>
      <c r="H136" s="2">
        <v>117.2</v>
      </c>
      <c r="I136" s="2">
        <v>136.1</v>
      </c>
      <c r="J136" s="2">
        <v>150.69999999999999</v>
      </c>
      <c r="K136" s="2">
        <v>171.5</v>
      </c>
      <c r="L136" s="2">
        <v>113.8</v>
      </c>
      <c r="M136" s="2">
        <v>138.80000000000001</v>
      </c>
      <c r="N136" s="2">
        <v>126</v>
      </c>
      <c r="O136" s="2">
        <v>140.19999999999999</v>
      </c>
      <c r="P136" s="2">
        <v>136.6</v>
      </c>
      <c r="Q136" s="2">
        <v>141</v>
      </c>
      <c r="R136" s="2">
        <v>134.6</v>
      </c>
      <c r="S136" s="2">
        <v>128.6</v>
      </c>
      <c r="T136" s="2">
        <v>133.80000000000001</v>
      </c>
      <c r="U136" s="2" t="s">
        <v>88</v>
      </c>
      <c r="V136" s="2">
        <v>124.1</v>
      </c>
      <c r="W136" s="2">
        <v>127.9</v>
      </c>
      <c r="X136" s="2">
        <v>125.4</v>
      </c>
      <c r="Y136" s="2">
        <v>114.3</v>
      </c>
      <c r="Z136" s="2">
        <v>122.9</v>
      </c>
      <c r="AA136" s="2">
        <v>131.80000000000001</v>
      </c>
      <c r="AB136" s="2">
        <v>122.1</v>
      </c>
      <c r="AC136" s="2">
        <v>122.8</v>
      </c>
      <c r="AD136" s="2">
        <v>130.9</v>
      </c>
    </row>
    <row r="137" spans="1:30" x14ac:dyDescent="0.35">
      <c r="A137" s="2" t="s">
        <v>30</v>
      </c>
      <c r="B137" s="2">
        <v>2016</v>
      </c>
      <c r="C137" s="2" t="s">
        <v>50</v>
      </c>
      <c r="D137" s="2">
        <v>131.30000000000001</v>
      </c>
      <c r="E137" s="2">
        <v>137.6</v>
      </c>
      <c r="F137" s="2">
        <v>130.1</v>
      </c>
      <c r="G137" s="2">
        <v>136</v>
      </c>
      <c r="H137" s="2">
        <v>120.8</v>
      </c>
      <c r="I137" s="2">
        <v>138.4</v>
      </c>
      <c r="J137" s="2">
        <v>149.19999999999999</v>
      </c>
      <c r="K137" s="2">
        <v>170.2</v>
      </c>
      <c r="L137" s="2">
        <v>113.4</v>
      </c>
      <c r="M137" s="2">
        <v>136.30000000000001</v>
      </c>
      <c r="N137" s="2">
        <v>128.69999999999999</v>
      </c>
      <c r="O137" s="2">
        <v>142.4</v>
      </c>
      <c r="P137" s="2">
        <v>137.4</v>
      </c>
      <c r="Q137" s="2">
        <v>140.9</v>
      </c>
      <c r="R137" s="2">
        <v>139.6</v>
      </c>
      <c r="S137" s="2">
        <v>134.30000000000001</v>
      </c>
      <c r="T137" s="2">
        <v>138.80000000000001</v>
      </c>
      <c r="U137" s="2" t="s">
        <v>32</v>
      </c>
      <c r="V137" s="2">
        <v>129.80000000000001</v>
      </c>
      <c r="W137" s="2">
        <v>131.80000000000001</v>
      </c>
      <c r="X137" s="2">
        <v>128.69999999999999</v>
      </c>
      <c r="Y137" s="2">
        <v>117.8</v>
      </c>
      <c r="Z137" s="2">
        <v>126.5</v>
      </c>
      <c r="AA137" s="2">
        <v>133</v>
      </c>
      <c r="AB137" s="2">
        <v>123</v>
      </c>
      <c r="AC137" s="2">
        <v>125.7</v>
      </c>
      <c r="AD137" s="2">
        <v>133.80000000000001</v>
      </c>
    </row>
    <row r="138" spans="1:30" x14ac:dyDescent="0.35">
      <c r="A138" s="2" t="s">
        <v>33</v>
      </c>
      <c r="B138" s="2">
        <v>2016</v>
      </c>
      <c r="C138" s="2" t="s">
        <v>50</v>
      </c>
      <c r="D138" s="2">
        <v>128.69999999999999</v>
      </c>
      <c r="E138" s="2">
        <v>138.4</v>
      </c>
      <c r="F138" s="2">
        <v>130.30000000000001</v>
      </c>
      <c r="G138" s="2">
        <v>132.69999999999999</v>
      </c>
      <c r="H138" s="2">
        <v>112.5</v>
      </c>
      <c r="I138" s="2">
        <v>130.4</v>
      </c>
      <c r="J138" s="2">
        <v>155.1</v>
      </c>
      <c r="K138" s="2">
        <v>175.7</v>
      </c>
      <c r="L138" s="2">
        <v>115.4</v>
      </c>
      <c r="M138" s="2">
        <v>145.30000000000001</v>
      </c>
      <c r="N138" s="2">
        <v>122.5</v>
      </c>
      <c r="O138" s="2">
        <v>139.6</v>
      </c>
      <c r="P138" s="2">
        <v>136.30000000000001</v>
      </c>
      <c r="Q138" s="2">
        <v>144.30000000000001</v>
      </c>
      <c r="R138" s="2">
        <v>129.1</v>
      </c>
      <c r="S138" s="2">
        <v>121.9</v>
      </c>
      <c r="T138" s="2">
        <v>128</v>
      </c>
      <c r="U138" s="2" t="s">
        <v>89</v>
      </c>
      <c r="V138" s="2">
        <v>115.2</v>
      </c>
      <c r="W138" s="2">
        <v>124.5</v>
      </c>
      <c r="X138" s="2">
        <v>121.8</v>
      </c>
      <c r="Y138" s="2">
        <v>112.8</v>
      </c>
      <c r="Z138" s="2">
        <v>121.2</v>
      </c>
      <c r="AA138" s="2">
        <v>131.9</v>
      </c>
      <c r="AB138" s="2">
        <v>120.8</v>
      </c>
      <c r="AC138" s="2">
        <v>120.9</v>
      </c>
      <c r="AD138" s="2">
        <v>128.6</v>
      </c>
    </row>
    <row r="139" spans="1:30" x14ac:dyDescent="0.35">
      <c r="A139" s="2" t="s">
        <v>35</v>
      </c>
      <c r="B139" s="2">
        <v>2016</v>
      </c>
      <c r="C139" s="2" t="s">
        <v>50</v>
      </c>
      <c r="D139" s="2">
        <v>130.5</v>
      </c>
      <c r="E139" s="2">
        <v>137.9</v>
      </c>
      <c r="F139" s="2">
        <v>130.19999999999999</v>
      </c>
      <c r="G139" s="2">
        <v>134.80000000000001</v>
      </c>
      <c r="H139" s="2">
        <v>117.8</v>
      </c>
      <c r="I139" s="2">
        <v>134.69999999999999</v>
      </c>
      <c r="J139" s="2">
        <v>151.19999999999999</v>
      </c>
      <c r="K139" s="2">
        <v>172.1</v>
      </c>
      <c r="L139" s="2">
        <v>114.1</v>
      </c>
      <c r="M139" s="2">
        <v>139.30000000000001</v>
      </c>
      <c r="N139" s="2">
        <v>126.1</v>
      </c>
      <c r="O139" s="2">
        <v>141.1</v>
      </c>
      <c r="P139" s="2">
        <v>137</v>
      </c>
      <c r="Q139" s="2">
        <v>141.80000000000001</v>
      </c>
      <c r="R139" s="2">
        <v>135.5</v>
      </c>
      <c r="S139" s="2">
        <v>129.1</v>
      </c>
      <c r="T139" s="2">
        <v>134.5</v>
      </c>
      <c r="U139" s="2" t="s">
        <v>89</v>
      </c>
      <c r="V139" s="2">
        <v>124.3</v>
      </c>
      <c r="W139" s="2">
        <v>128.4</v>
      </c>
      <c r="X139" s="2">
        <v>126.1</v>
      </c>
      <c r="Y139" s="2">
        <v>115.2</v>
      </c>
      <c r="Z139" s="2">
        <v>123.5</v>
      </c>
      <c r="AA139" s="2">
        <v>132.4</v>
      </c>
      <c r="AB139" s="2">
        <v>122.1</v>
      </c>
      <c r="AC139" s="2">
        <v>123.4</v>
      </c>
      <c r="AD139" s="2">
        <v>131.4</v>
      </c>
    </row>
    <row r="140" spans="1:30" x14ac:dyDescent="0.35">
      <c r="A140" s="2" t="s">
        <v>30</v>
      </c>
      <c r="B140" s="2">
        <v>2016</v>
      </c>
      <c r="C140" s="2" t="s">
        <v>53</v>
      </c>
      <c r="D140" s="2">
        <v>132</v>
      </c>
      <c r="E140" s="2">
        <v>137.4</v>
      </c>
      <c r="F140" s="2">
        <v>130.6</v>
      </c>
      <c r="G140" s="2">
        <v>136.19999999999999</v>
      </c>
      <c r="H140" s="2">
        <v>121.1</v>
      </c>
      <c r="I140" s="2">
        <v>136.9</v>
      </c>
      <c r="J140" s="2">
        <v>141.80000000000001</v>
      </c>
      <c r="K140" s="2">
        <v>170</v>
      </c>
      <c r="L140" s="2">
        <v>113.4</v>
      </c>
      <c r="M140" s="2">
        <v>136.80000000000001</v>
      </c>
      <c r="N140" s="2">
        <v>128.69999999999999</v>
      </c>
      <c r="O140" s="2">
        <v>143.1</v>
      </c>
      <c r="P140" s="2">
        <v>136.6</v>
      </c>
      <c r="Q140" s="2">
        <v>141.19999999999999</v>
      </c>
      <c r="R140" s="2">
        <v>139.9</v>
      </c>
      <c r="S140" s="2">
        <v>134.5</v>
      </c>
      <c r="T140" s="2">
        <v>139.19999999999999</v>
      </c>
      <c r="U140" s="2" t="s">
        <v>32</v>
      </c>
      <c r="V140" s="2">
        <v>130.30000000000001</v>
      </c>
      <c r="W140" s="2">
        <v>132.1</v>
      </c>
      <c r="X140" s="2">
        <v>129.1</v>
      </c>
      <c r="Y140" s="2">
        <v>118.2</v>
      </c>
      <c r="Z140" s="2">
        <v>126.9</v>
      </c>
      <c r="AA140" s="2">
        <v>133.69999999999999</v>
      </c>
      <c r="AB140" s="2">
        <v>123.5</v>
      </c>
      <c r="AC140" s="2">
        <v>126.1</v>
      </c>
      <c r="AD140" s="2">
        <v>133.6</v>
      </c>
    </row>
    <row r="141" spans="1:30" x14ac:dyDescent="0.35">
      <c r="A141" s="2" t="s">
        <v>33</v>
      </c>
      <c r="B141" s="2">
        <v>2016</v>
      </c>
      <c r="C141" s="2" t="s">
        <v>53</v>
      </c>
      <c r="D141" s="2">
        <v>130.19999999999999</v>
      </c>
      <c r="E141" s="2">
        <v>138.5</v>
      </c>
      <c r="F141" s="2">
        <v>134.1</v>
      </c>
      <c r="G141" s="2">
        <v>132.9</v>
      </c>
      <c r="H141" s="2">
        <v>112.6</v>
      </c>
      <c r="I141" s="2">
        <v>130.80000000000001</v>
      </c>
      <c r="J141" s="2">
        <v>142</v>
      </c>
      <c r="K141" s="2">
        <v>174.9</v>
      </c>
      <c r="L141" s="2">
        <v>115.6</v>
      </c>
      <c r="M141" s="2">
        <v>145.4</v>
      </c>
      <c r="N141" s="2">
        <v>122.7</v>
      </c>
      <c r="O141" s="2">
        <v>140.30000000000001</v>
      </c>
      <c r="P141" s="2">
        <v>135.19999999999999</v>
      </c>
      <c r="Q141" s="2">
        <v>144.30000000000001</v>
      </c>
      <c r="R141" s="2">
        <v>129.6</v>
      </c>
      <c r="S141" s="2">
        <v>122.1</v>
      </c>
      <c r="T141" s="2">
        <v>128.5</v>
      </c>
      <c r="U141" s="2" t="s">
        <v>90</v>
      </c>
      <c r="V141" s="2">
        <v>116.2</v>
      </c>
      <c r="W141" s="2">
        <v>124.7</v>
      </c>
      <c r="X141" s="2">
        <v>122.1</v>
      </c>
      <c r="Y141" s="2">
        <v>113.4</v>
      </c>
      <c r="Z141" s="2">
        <v>121.7</v>
      </c>
      <c r="AA141" s="2">
        <v>132.1</v>
      </c>
      <c r="AB141" s="2">
        <v>121.3</v>
      </c>
      <c r="AC141" s="2">
        <v>121.3</v>
      </c>
      <c r="AD141" s="2">
        <v>128.5</v>
      </c>
    </row>
    <row r="142" spans="1:30" x14ac:dyDescent="0.35">
      <c r="A142" s="2" t="s">
        <v>35</v>
      </c>
      <c r="B142" s="2">
        <v>2016</v>
      </c>
      <c r="C142" s="2" t="s">
        <v>53</v>
      </c>
      <c r="D142" s="2">
        <v>131.4</v>
      </c>
      <c r="E142" s="2">
        <v>137.80000000000001</v>
      </c>
      <c r="F142" s="2">
        <v>132</v>
      </c>
      <c r="G142" s="2">
        <v>135</v>
      </c>
      <c r="H142" s="2">
        <v>118</v>
      </c>
      <c r="I142" s="2">
        <v>134.1</v>
      </c>
      <c r="J142" s="2">
        <v>141.9</v>
      </c>
      <c r="K142" s="2">
        <v>171.7</v>
      </c>
      <c r="L142" s="2">
        <v>114.1</v>
      </c>
      <c r="M142" s="2">
        <v>139.69999999999999</v>
      </c>
      <c r="N142" s="2">
        <v>126.2</v>
      </c>
      <c r="O142" s="2">
        <v>141.80000000000001</v>
      </c>
      <c r="P142" s="2">
        <v>136.1</v>
      </c>
      <c r="Q142" s="2">
        <v>142</v>
      </c>
      <c r="R142" s="2">
        <v>135.80000000000001</v>
      </c>
      <c r="S142" s="2">
        <v>129.30000000000001</v>
      </c>
      <c r="T142" s="2">
        <v>135</v>
      </c>
      <c r="U142" s="2" t="s">
        <v>90</v>
      </c>
      <c r="V142" s="2">
        <v>125</v>
      </c>
      <c r="W142" s="2">
        <v>128.6</v>
      </c>
      <c r="X142" s="2">
        <v>126.4</v>
      </c>
      <c r="Y142" s="2">
        <v>115.7</v>
      </c>
      <c r="Z142" s="2">
        <v>124</v>
      </c>
      <c r="AA142" s="2">
        <v>132.80000000000001</v>
      </c>
      <c r="AB142" s="2">
        <v>122.6</v>
      </c>
      <c r="AC142" s="2">
        <v>123.8</v>
      </c>
      <c r="AD142" s="2">
        <v>131.19999999999999</v>
      </c>
    </row>
    <row r="143" spans="1:30" x14ac:dyDescent="0.35">
      <c r="A143" s="2" t="s">
        <v>30</v>
      </c>
      <c r="B143" s="2">
        <v>2016</v>
      </c>
      <c r="C143" s="2" t="s">
        <v>55</v>
      </c>
      <c r="D143" s="2">
        <v>132.6</v>
      </c>
      <c r="E143" s="2">
        <v>137.30000000000001</v>
      </c>
      <c r="F143" s="2">
        <v>131.6</v>
      </c>
      <c r="G143" s="2">
        <v>136.30000000000001</v>
      </c>
      <c r="H143" s="2">
        <v>121.6</v>
      </c>
      <c r="I143" s="2">
        <v>135.6</v>
      </c>
      <c r="J143" s="2">
        <v>127.5</v>
      </c>
      <c r="K143" s="2">
        <v>167.9</v>
      </c>
      <c r="L143" s="2">
        <v>113.8</v>
      </c>
      <c r="M143" s="2">
        <v>137.5</v>
      </c>
      <c r="N143" s="2">
        <v>129.1</v>
      </c>
      <c r="O143" s="2">
        <v>143.6</v>
      </c>
      <c r="P143" s="2">
        <v>134.69999999999999</v>
      </c>
      <c r="Q143" s="2">
        <v>142.4</v>
      </c>
      <c r="R143" s="2">
        <v>140.4</v>
      </c>
      <c r="S143" s="2">
        <v>135.19999999999999</v>
      </c>
      <c r="T143" s="2">
        <v>139.69999999999999</v>
      </c>
      <c r="U143" s="2" t="s">
        <v>32</v>
      </c>
      <c r="V143" s="2">
        <v>132</v>
      </c>
      <c r="W143" s="2">
        <v>132.9</v>
      </c>
      <c r="X143" s="2">
        <v>129.69999999999999</v>
      </c>
      <c r="Y143" s="2">
        <v>118.6</v>
      </c>
      <c r="Z143" s="2">
        <v>127.3</v>
      </c>
      <c r="AA143" s="2">
        <v>134.19999999999999</v>
      </c>
      <c r="AB143" s="2">
        <v>121.9</v>
      </c>
      <c r="AC143" s="2">
        <v>126.3</v>
      </c>
      <c r="AD143" s="2">
        <v>132.80000000000001</v>
      </c>
    </row>
    <row r="144" spans="1:30" x14ac:dyDescent="0.35">
      <c r="A144" s="2" t="s">
        <v>33</v>
      </c>
      <c r="B144" s="2">
        <v>2016</v>
      </c>
      <c r="C144" s="2" t="s">
        <v>55</v>
      </c>
      <c r="D144" s="2">
        <v>131.6</v>
      </c>
      <c r="E144" s="2">
        <v>138.19999999999999</v>
      </c>
      <c r="F144" s="2">
        <v>134.9</v>
      </c>
      <c r="G144" s="2">
        <v>133.1</v>
      </c>
      <c r="H144" s="2">
        <v>113.5</v>
      </c>
      <c r="I144" s="2">
        <v>129.30000000000001</v>
      </c>
      <c r="J144" s="2">
        <v>121.1</v>
      </c>
      <c r="K144" s="2">
        <v>170.3</v>
      </c>
      <c r="L144" s="2">
        <v>115.5</v>
      </c>
      <c r="M144" s="2">
        <v>145.5</v>
      </c>
      <c r="N144" s="2">
        <v>123.1</v>
      </c>
      <c r="O144" s="2">
        <v>140.9</v>
      </c>
      <c r="P144" s="2">
        <v>132.80000000000001</v>
      </c>
      <c r="Q144" s="2">
        <v>145</v>
      </c>
      <c r="R144" s="2">
        <v>130</v>
      </c>
      <c r="S144" s="2">
        <v>122.2</v>
      </c>
      <c r="T144" s="2">
        <v>128.80000000000001</v>
      </c>
      <c r="U144" s="2" t="s">
        <v>91</v>
      </c>
      <c r="V144" s="2">
        <v>117.8</v>
      </c>
      <c r="W144" s="2">
        <v>125</v>
      </c>
      <c r="X144" s="2">
        <v>122.3</v>
      </c>
      <c r="Y144" s="2">
        <v>113.7</v>
      </c>
      <c r="Z144" s="2">
        <v>121.8</v>
      </c>
      <c r="AA144" s="2">
        <v>132.30000000000001</v>
      </c>
      <c r="AB144" s="2">
        <v>119.9</v>
      </c>
      <c r="AC144" s="2">
        <v>121.4</v>
      </c>
      <c r="AD144" s="2">
        <v>127.6</v>
      </c>
    </row>
    <row r="145" spans="1:30" x14ac:dyDescent="0.35">
      <c r="A145" s="2" t="s">
        <v>35</v>
      </c>
      <c r="B145" s="2">
        <v>2016</v>
      </c>
      <c r="C145" s="2" t="s">
        <v>55</v>
      </c>
      <c r="D145" s="2">
        <v>132.30000000000001</v>
      </c>
      <c r="E145" s="2">
        <v>137.6</v>
      </c>
      <c r="F145" s="2">
        <v>132.9</v>
      </c>
      <c r="G145" s="2">
        <v>135.1</v>
      </c>
      <c r="H145" s="2">
        <v>118.6</v>
      </c>
      <c r="I145" s="2">
        <v>132.69999999999999</v>
      </c>
      <c r="J145" s="2">
        <v>125.3</v>
      </c>
      <c r="K145" s="2">
        <v>168.7</v>
      </c>
      <c r="L145" s="2">
        <v>114.4</v>
      </c>
      <c r="M145" s="2">
        <v>140.19999999999999</v>
      </c>
      <c r="N145" s="2">
        <v>126.6</v>
      </c>
      <c r="O145" s="2">
        <v>142.30000000000001</v>
      </c>
      <c r="P145" s="2">
        <v>134</v>
      </c>
      <c r="Q145" s="2">
        <v>143.1</v>
      </c>
      <c r="R145" s="2">
        <v>136.30000000000001</v>
      </c>
      <c r="S145" s="2">
        <v>129.80000000000001</v>
      </c>
      <c r="T145" s="2">
        <v>135.4</v>
      </c>
      <c r="U145" s="2" t="s">
        <v>91</v>
      </c>
      <c r="V145" s="2">
        <v>126.6</v>
      </c>
      <c r="W145" s="2">
        <v>129.19999999999999</v>
      </c>
      <c r="X145" s="2">
        <v>126.9</v>
      </c>
      <c r="Y145" s="2">
        <v>116</v>
      </c>
      <c r="Z145" s="2">
        <v>124.2</v>
      </c>
      <c r="AA145" s="2">
        <v>133.1</v>
      </c>
      <c r="AB145" s="2">
        <v>121.1</v>
      </c>
      <c r="AC145" s="2">
        <v>123.9</v>
      </c>
      <c r="AD145" s="2">
        <v>130.4</v>
      </c>
    </row>
    <row r="146" spans="1:30" x14ac:dyDescent="0.35">
      <c r="A146" s="2" t="s">
        <v>30</v>
      </c>
      <c r="B146" s="2">
        <v>2017</v>
      </c>
      <c r="C146" s="2" t="s">
        <v>31</v>
      </c>
      <c r="D146" s="2">
        <v>133.1</v>
      </c>
      <c r="E146" s="2">
        <v>137.80000000000001</v>
      </c>
      <c r="F146" s="2">
        <v>131.9</v>
      </c>
      <c r="G146" s="2">
        <v>136.69999999999999</v>
      </c>
      <c r="H146" s="2">
        <v>122</v>
      </c>
      <c r="I146" s="2">
        <v>136</v>
      </c>
      <c r="J146" s="2">
        <v>119.8</v>
      </c>
      <c r="K146" s="2">
        <v>161.69999999999999</v>
      </c>
      <c r="L146" s="2">
        <v>114.8</v>
      </c>
      <c r="M146" s="2">
        <v>136.9</v>
      </c>
      <c r="N146" s="2">
        <v>129</v>
      </c>
      <c r="O146" s="2">
        <v>143.9</v>
      </c>
      <c r="P146" s="2">
        <v>133.69999999999999</v>
      </c>
      <c r="Q146" s="2">
        <v>143.1</v>
      </c>
      <c r="R146" s="2">
        <v>140.69999999999999</v>
      </c>
      <c r="S146" s="2">
        <v>135.80000000000001</v>
      </c>
      <c r="T146" s="2">
        <v>140</v>
      </c>
      <c r="U146" s="2" t="s">
        <v>32</v>
      </c>
      <c r="V146" s="2">
        <v>132.1</v>
      </c>
      <c r="W146" s="2">
        <v>133.19999999999999</v>
      </c>
      <c r="X146" s="2">
        <v>129.9</v>
      </c>
      <c r="Y146" s="2">
        <v>119.1</v>
      </c>
      <c r="Z146" s="2">
        <v>127</v>
      </c>
      <c r="AA146" s="2">
        <v>134.6</v>
      </c>
      <c r="AB146" s="2">
        <v>122.3</v>
      </c>
      <c r="AC146" s="2">
        <v>126.6</v>
      </c>
      <c r="AD146" s="2">
        <v>132.4</v>
      </c>
    </row>
    <row r="147" spans="1:30" x14ac:dyDescent="0.35">
      <c r="A147" s="2" t="s">
        <v>33</v>
      </c>
      <c r="B147" s="2">
        <v>2017</v>
      </c>
      <c r="C147" s="2" t="s">
        <v>31</v>
      </c>
      <c r="D147" s="2">
        <v>132.19999999999999</v>
      </c>
      <c r="E147" s="2">
        <v>138.9</v>
      </c>
      <c r="F147" s="2">
        <v>132.6</v>
      </c>
      <c r="G147" s="2">
        <v>133.1</v>
      </c>
      <c r="H147" s="2">
        <v>114</v>
      </c>
      <c r="I147" s="2">
        <v>129.6</v>
      </c>
      <c r="J147" s="2">
        <v>118.7</v>
      </c>
      <c r="K147" s="2">
        <v>155.1</v>
      </c>
      <c r="L147" s="2">
        <v>117.3</v>
      </c>
      <c r="M147" s="2">
        <v>144.9</v>
      </c>
      <c r="N147" s="2">
        <v>123.2</v>
      </c>
      <c r="O147" s="2">
        <v>141.6</v>
      </c>
      <c r="P147" s="2">
        <v>132</v>
      </c>
      <c r="Q147" s="2">
        <v>145.6</v>
      </c>
      <c r="R147" s="2">
        <v>130.19999999999999</v>
      </c>
      <c r="S147" s="2">
        <v>122.3</v>
      </c>
      <c r="T147" s="2">
        <v>129</v>
      </c>
      <c r="U147" s="2" t="s">
        <v>92</v>
      </c>
      <c r="V147" s="2">
        <v>118</v>
      </c>
      <c r="W147" s="2">
        <v>125.1</v>
      </c>
      <c r="X147" s="2">
        <v>122.6</v>
      </c>
      <c r="Y147" s="2">
        <v>115.2</v>
      </c>
      <c r="Z147" s="2">
        <v>122</v>
      </c>
      <c r="AA147" s="2">
        <v>132.4</v>
      </c>
      <c r="AB147" s="2">
        <v>120.9</v>
      </c>
      <c r="AC147" s="2">
        <v>122.1</v>
      </c>
      <c r="AD147" s="2">
        <v>127.8</v>
      </c>
    </row>
    <row r="148" spans="1:30" x14ac:dyDescent="0.35">
      <c r="A148" s="2" t="s">
        <v>35</v>
      </c>
      <c r="B148" s="2">
        <v>2017</v>
      </c>
      <c r="C148" s="2" t="s">
        <v>31</v>
      </c>
      <c r="D148" s="2">
        <v>132.80000000000001</v>
      </c>
      <c r="E148" s="2">
        <v>138.19999999999999</v>
      </c>
      <c r="F148" s="2">
        <v>132.19999999999999</v>
      </c>
      <c r="G148" s="2">
        <v>135.4</v>
      </c>
      <c r="H148" s="2">
        <v>119.1</v>
      </c>
      <c r="I148" s="2">
        <v>133</v>
      </c>
      <c r="J148" s="2">
        <v>119.4</v>
      </c>
      <c r="K148" s="2">
        <v>159.5</v>
      </c>
      <c r="L148" s="2">
        <v>115.6</v>
      </c>
      <c r="M148" s="2">
        <v>139.6</v>
      </c>
      <c r="N148" s="2">
        <v>126.6</v>
      </c>
      <c r="O148" s="2">
        <v>142.80000000000001</v>
      </c>
      <c r="P148" s="2">
        <v>133.1</v>
      </c>
      <c r="Q148" s="2">
        <v>143.80000000000001</v>
      </c>
      <c r="R148" s="2">
        <v>136.6</v>
      </c>
      <c r="S148" s="2">
        <v>130.19999999999999</v>
      </c>
      <c r="T148" s="2">
        <v>135.6</v>
      </c>
      <c r="U148" s="2" t="s">
        <v>92</v>
      </c>
      <c r="V148" s="2">
        <v>126.8</v>
      </c>
      <c r="W148" s="2">
        <v>129.4</v>
      </c>
      <c r="X148" s="2">
        <v>127.1</v>
      </c>
      <c r="Y148" s="2">
        <v>117</v>
      </c>
      <c r="Z148" s="2">
        <v>124.2</v>
      </c>
      <c r="AA148" s="2">
        <v>133.30000000000001</v>
      </c>
      <c r="AB148" s="2">
        <v>121.7</v>
      </c>
      <c r="AC148" s="2">
        <v>124.4</v>
      </c>
      <c r="AD148" s="2">
        <v>130.30000000000001</v>
      </c>
    </row>
    <row r="149" spans="1:30" x14ac:dyDescent="0.35">
      <c r="A149" s="2" t="s">
        <v>30</v>
      </c>
      <c r="B149" s="2">
        <v>2017</v>
      </c>
      <c r="C149" s="2" t="s">
        <v>36</v>
      </c>
      <c r="D149" s="2">
        <v>133.30000000000001</v>
      </c>
      <c r="E149" s="2">
        <v>138.30000000000001</v>
      </c>
      <c r="F149" s="2">
        <v>129.30000000000001</v>
      </c>
      <c r="G149" s="2">
        <v>137.19999999999999</v>
      </c>
      <c r="H149" s="2">
        <v>122.1</v>
      </c>
      <c r="I149" s="2">
        <v>138.69999999999999</v>
      </c>
      <c r="J149" s="2">
        <v>119.1</v>
      </c>
      <c r="K149" s="2">
        <v>156.9</v>
      </c>
      <c r="L149" s="2">
        <v>116.2</v>
      </c>
      <c r="M149" s="2">
        <v>136</v>
      </c>
      <c r="N149" s="2">
        <v>129.4</v>
      </c>
      <c r="O149" s="2">
        <v>144.4</v>
      </c>
      <c r="P149" s="2">
        <v>133.6</v>
      </c>
      <c r="Q149" s="2">
        <v>143.69999999999999</v>
      </c>
      <c r="R149" s="2">
        <v>140.9</v>
      </c>
      <c r="S149" s="2">
        <v>135.80000000000001</v>
      </c>
      <c r="T149" s="2">
        <v>140.19999999999999</v>
      </c>
      <c r="U149" s="2" t="s">
        <v>32</v>
      </c>
      <c r="V149" s="2">
        <v>133.19999999999999</v>
      </c>
      <c r="W149" s="2">
        <v>133.6</v>
      </c>
      <c r="X149" s="2">
        <v>130.1</v>
      </c>
      <c r="Y149" s="2">
        <v>119.5</v>
      </c>
      <c r="Z149" s="2">
        <v>127.7</v>
      </c>
      <c r="AA149" s="2">
        <v>134.9</v>
      </c>
      <c r="AB149" s="2">
        <v>123.2</v>
      </c>
      <c r="AC149" s="2">
        <v>127</v>
      </c>
      <c r="AD149" s="2">
        <v>132.6</v>
      </c>
    </row>
    <row r="150" spans="1:30" x14ac:dyDescent="0.35">
      <c r="A150" s="2" t="s">
        <v>33</v>
      </c>
      <c r="B150" s="2">
        <v>2017</v>
      </c>
      <c r="C150" s="2" t="s">
        <v>36</v>
      </c>
      <c r="D150" s="2">
        <v>132.80000000000001</v>
      </c>
      <c r="E150" s="2">
        <v>139.80000000000001</v>
      </c>
      <c r="F150" s="2">
        <v>129.30000000000001</v>
      </c>
      <c r="G150" s="2">
        <v>133.5</v>
      </c>
      <c r="H150" s="2">
        <v>114.3</v>
      </c>
      <c r="I150" s="2">
        <v>131.4</v>
      </c>
      <c r="J150" s="2">
        <v>120.2</v>
      </c>
      <c r="K150" s="2">
        <v>143.1</v>
      </c>
      <c r="L150" s="2">
        <v>119.5</v>
      </c>
      <c r="M150" s="2">
        <v>144</v>
      </c>
      <c r="N150" s="2">
        <v>123.4</v>
      </c>
      <c r="O150" s="2">
        <v>141.9</v>
      </c>
      <c r="P150" s="2">
        <v>132.1</v>
      </c>
      <c r="Q150" s="2">
        <v>146.30000000000001</v>
      </c>
      <c r="R150" s="2">
        <v>130.5</v>
      </c>
      <c r="S150" s="2">
        <v>122.5</v>
      </c>
      <c r="T150" s="2">
        <v>129.30000000000001</v>
      </c>
      <c r="U150" s="2" t="s">
        <v>93</v>
      </c>
      <c r="V150" s="2">
        <v>119.2</v>
      </c>
      <c r="W150" s="2">
        <v>125.3</v>
      </c>
      <c r="X150" s="2">
        <v>122.9</v>
      </c>
      <c r="Y150" s="2">
        <v>115.5</v>
      </c>
      <c r="Z150" s="2">
        <v>122.2</v>
      </c>
      <c r="AA150" s="2">
        <v>132.4</v>
      </c>
      <c r="AB150" s="2">
        <v>121.7</v>
      </c>
      <c r="AC150" s="2">
        <v>122.4</v>
      </c>
      <c r="AD150" s="2">
        <v>128.19999999999999</v>
      </c>
    </row>
    <row r="151" spans="1:30" x14ac:dyDescent="0.35">
      <c r="A151" s="2" t="s">
        <v>35</v>
      </c>
      <c r="B151" s="2">
        <v>2017</v>
      </c>
      <c r="C151" s="2" t="s">
        <v>36</v>
      </c>
      <c r="D151" s="2">
        <v>133.1</v>
      </c>
      <c r="E151" s="2">
        <v>138.80000000000001</v>
      </c>
      <c r="F151" s="2">
        <v>129.30000000000001</v>
      </c>
      <c r="G151" s="2">
        <v>135.80000000000001</v>
      </c>
      <c r="H151" s="2">
        <v>119.2</v>
      </c>
      <c r="I151" s="2">
        <v>135.30000000000001</v>
      </c>
      <c r="J151" s="2">
        <v>119.5</v>
      </c>
      <c r="K151" s="2">
        <v>152.19999999999999</v>
      </c>
      <c r="L151" s="2">
        <v>117.3</v>
      </c>
      <c r="M151" s="2">
        <v>138.69999999999999</v>
      </c>
      <c r="N151" s="2">
        <v>126.9</v>
      </c>
      <c r="O151" s="2">
        <v>143.19999999999999</v>
      </c>
      <c r="P151" s="2">
        <v>133</v>
      </c>
      <c r="Q151" s="2">
        <v>144.4</v>
      </c>
      <c r="R151" s="2">
        <v>136.80000000000001</v>
      </c>
      <c r="S151" s="2">
        <v>130.30000000000001</v>
      </c>
      <c r="T151" s="2">
        <v>135.9</v>
      </c>
      <c r="U151" s="2" t="s">
        <v>93</v>
      </c>
      <c r="V151" s="2">
        <v>127.9</v>
      </c>
      <c r="W151" s="2">
        <v>129.69999999999999</v>
      </c>
      <c r="X151" s="2">
        <v>127.4</v>
      </c>
      <c r="Y151" s="2">
        <v>117.4</v>
      </c>
      <c r="Z151" s="2">
        <v>124.6</v>
      </c>
      <c r="AA151" s="2">
        <v>133.4</v>
      </c>
      <c r="AB151" s="2">
        <v>122.6</v>
      </c>
      <c r="AC151" s="2">
        <v>124.8</v>
      </c>
      <c r="AD151" s="2">
        <v>130.6</v>
      </c>
    </row>
    <row r="152" spans="1:30" x14ac:dyDescent="0.35">
      <c r="A152" s="2" t="s">
        <v>30</v>
      </c>
      <c r="B152" s="2">
        <v>2017</v>
      </c>
      <c r="C152" s="2" t="s">
        <v>38</v>
      </c>
      <c r="D152" s="2">
        <v>133.6</v>
      </c>
      <c r="E152" s="2">
        <v>138.80000000000001</v>
      </c>
      <c r="F152" s="2">
        <v>128.80000000000001</v>
      </c>
      <c r="G152" s="2">
        <v>137.19999999999999</v>
      </c>
      <c r="H152" s="2">
        <v>121.6</v>
      </c>
      <c r="I152" s="2">
        <v>139.69999999999999</v>
      </c>
      <c r="J152" s="2">
        <v>119.7</v>
      </c>
      <c r="K152" s="2">
        <v>148</v>
      </c>
      <c r="L152" s="2">
        <v>116.9</v>
      </c>
      <c r="M152" s="2">
        <v>135.6</v>
      </c>
      <c r="N152" s="2">
        <v>129.80000000000001</v>
      </c>
      <c r="O152" s="2">
        <v>145.4</v>
      </c>
      <c r="P152" s="2">
        <v>133.4</v>
      </c>
      <c r="Q152" s="2">
        <v>144.19999999999999</v>
      </c>
      <c r="R152" s="2">
        <v>141.6</v>
      </c>
      <c r="S152" s="2">
        <v>136.19999999999999</v>
      </c>
      <c r="T152" s="2">
        <v>140.80000000000001</v>
      </c>
      <c r="U152" s="2" t="s">
        <v>32</v>
      </c>
      <c r="V152" s="2">
        <v>134.19999999999999</v>
      </c>
      <c r="W152" s="2">
        <v>134.1</v>
      </c>
      <c r="X152" s="2">
        <v>130.6</v>
      </c>
      <c r="Y152" s="2">
        <v>119.8</v>
      </c>
      <c r="Z152" s="2">
        <v>128.30000000000001</v>
      </c>
      <c r="AA152" s="2">
        <v>135.19999999999999</v>
      </c>
      <c r="AB152" s="2">
        <v>123.3</v>
      </c>
      <c r="AC152" s="2">
        <v>127.4</v>
      </c>
      <c r="AD152" s="2">
        <v>132.80000000000001</v>
      </c>
    </row>
    <row r="153" spans="1:30" x14ac:dyDescent="0.35">
      <c r="A153" s="2" t="s">
        <v>33</v>
      </c>
      <c r="B153" s="2">
        <v>2017</v>
      </c>
      <c r="C153" s="2" t="s">
        <v>38</v>
      </c>
      <c r="D153" s="2">
        <v>132.69999999999999</v>
      </c>
      <c r="E153" s="2">
        <v>139.4</v>
      </c>
      <c r="F153" s="2">
        <v>128.4</v>
      </c>
      <c r="G153" s="2">
        <v>134.9</v>
      </c>
      <c r="H153" s="2">
        <v>114</v>
      </c>
      <c r="I153" s="2">
        <v>136.80000000000001</v>
      </c>
      <c r="J153" s="2">
        <v>122.2</v>
      </c>
      <c r="K153" s="2">
        <v>135.80000000000001</v>
      </c>
      <c r="L153" s="2">
        <v>120.3</v>
      </c>
      <c r="M153" s="2">
        <v>142.6</v>
      </c>
      <c r="N153" s="2">
        <v>123.6</v>
      </c>
      <c r="O153" s="2">
        <v>142.4</v>
      </c>
      <c r="P153" s="2">
        <v>132.6</v>
      </c>
      <c r="Q153" s="2">
        <v>147.5</v>
      </c>
      <c r="R153" s="2">
        <v>130.80000000000001</v>
      </c>
      <c r="S153" s="2">
        <v>122.8</v>
      </c>
      <c r="T153" s="2">
        <v>129.6</v>
      </c>
      <c r="U153" s="2" t="s">
        <v>94</v>
      </c>
      <c r="V153" s="2">
        <v>120.8</v>
      </c>
      <c r="W153" s="2">
        <v>125.6</v>
      </c>
      <c r="X153" s="2">
        <v>123.1</v>
      </c>
      <c r="Y153" s="2">
        <v>115.6</v>
      </c>
      <c r="Z153" s="2">
        <v>122.4</v>
      </c>
      <c r="AA153" s="2">
        <v>132.80000000000001</v>
      </c>
      <c r="AB153" s="2">
        <v>121.7</v>
      </c>
      <c r="AC153" s="2">
        <v>122.6</v>
      </c>
      <c r="AD153" s="2">
        <v>128.69999999999999</v>
      </c>
    </row>
    <row r="154" spans="1:30" x14ac:dyDescent="0.35">
      <c r="A154" s="2" t="s">
        <v>35</v>
      </c>
      <c r="B154" s="2">
        <v>2017</v>
      </c>
      <c r="C154" s="2" t="s">
        <v>38</v>
      </c>
      <c r="D154" s="2">
        <v>133.30000000000001</v>
      </c>
      <c r="E154" s="2">
        <v>139</v>
      </c>
      <c r="F154" s="2">
        <v>128.6</v>
      </c>
      <c r="G154" s="2">
        <v>136.30000000000001</v>
      </c>
      <c r="H154" s="2">
        <v>118.8</v>
      </c>
      <c r="I154" s="2">
        <v>138.30000000000001</v>
      </c>
      <c r="J154" s="2">
        <v>120.5</v>
      </c>
      <c r="K154" s="2">
        <v>143.9</v>
      </c>
      <c r="L154" s="2">
        <v>118</v>
      </c>
      <c r="M154" s="2">
        <v>137.9</v>
      </c>
      <c r="N154" s="2">
        <v>127.2</v>
      </c>
      <c r="O154" s="2">
        <v>144</v>
      </c>
      <c r="P154" s="2">
        <v>133.1</v>
      </c>
      <c r="Q154" s="2">
        <v>145.1</v>
      </c>
      <c r="R154" s="2">
        <v>137.30000000000001</v>
      </c>
      <c r="S154" s="2">
        <v>130.6</v>
      </c>
      <c r="T154" s="2">
        <v>136.4</v>
      </c>
      <c r="U154" s="2" t="s">
        <v>94</v>
      </c>
      <c r="V154" s="2">
        <v>129.1</v>
      </c>
      <c r="W154" s="2">
        <v>130.1</v>
      </c>
      <c r="X154" s="2">
        <v>127.8</v>
      </c>
      <c r="Y154" s="2">
        <v>117.6</v>
      </c>
      <c r="Z154" s="2">
        <v>125</v>
      </c>
      <c r="AA154" s="2">
        <v>133.80000000000001</v>
      </c>
      <c r="AB154" s="2">
        <v>122.6</v>
      </c>
      <c r="AC154" s="2">
        <v>125.1</v>
      </c>
      <c r="AD154" s="2">
        <v>130.9</v>
      </c>
    </row>
    <row r="155" spans="1:30" x14ac:dyDescent="0.35">
      <c r="A155" s="2" t="s">
        <v>30</v>
      </c>
      <c r="B155" s="2">
        <v>2017</v>
      </c>
      <c r="C155" s="2" t="s">
        <v>39</v>
      </c>
      <c r="D155" s="2">
        <v>133.19999999999999</v>
      </c>
      <c r="E155" s="2">
        <v>138.69999999999999</v>
      </c>
      <c r="F155" s="2">
        <v>127.1</v>
      </c>
      <c r="G155" s="2">
        <v>137.69999999999999</v>
      </c>
      <c r="H155" s="2">
        <v>121.3</v>
      </c>
      <c r="I155" s="2">
        <v>141.80000000000001</v>
      </c>
      <c r="J155" s="2">
        <v>121.5</v>
      </c>
      <c r="K155" s="2">
        <v>144.5</v>
      </c>
      <c r="L155" s="2">
        <v>117.4</v>
      </c>
      <c r="M155" s="2">
        <v>134.1</v>
      </c>
      <c r="N155" s="2">
        <v>130</v>
      </c>
      <c r="O155" s="2">
        <v>145.5</v>
      </c>
      <c r="P155" s="2">
        <v>133.5</v>
      </c>
      <c r="Q155" s="2">
        <v>144.4</v>
      </c>
      <c r="R155" s="2">
        <v>142.4</v>
      </c>
      <c r="S155" s="2">
        <v>136.80000000000001</v>
      </c>
      <c r="T155" s="2">
        <v>141.6</v>
      </c>
      <c r="U155" s="2" t="s">
        <v>32</v>
      </c>
      <c r="V155" s="2">
        <v>135</v>
      </c>
      <c r="W155" s="2">
        <v>134.30000000000001</v>
      </c>
      <c r="X155" s="2">
        <v>131</v>
      </c>
      <c r="Y155" s="2">
        <v>119.2</v>
      </c>
      <c r="Z155" s="2">
        <v>128.30000000000001</v>
      </c>
      <c r="AA155" s="2">
        <v>135.69999999999999</v>
      </c>
      <c r="AB155" s="2">
        <v>123.7</v>
      </c>
      <c r="AC155" s="2">
        <v>127.5</v>
      </c>
      <c r="AD155" s="2">
        <v>132.9</v>
      </c>
    </row>
    <row r="156" spans="1:30" x14ac:dyDescent="0.35">
      <c r="A156" s="2" t="s">
        <v>33</v>
      </c>
      <c r="B156" s="2">
        <v>2017</v>
      </c>
      <c r="C156" s="2" t="s">
        <v>39</v>
      </c>
      <c r="D156" s="2">
        <v>132.69999999999999</v>
      </c>
      <c r="E156" s="2">
        <v>140.6</v>
      </c>
      <c r="F156" s="2">
        <v>124.5</v>
      </c>
      <c r="G156" s="2">
        <v>136.30000000000001</v>
      </c>
      <c r="H156" s="2">
        <v>113.5</v>
      </c>
      <c r="I156" s="2">
        <v>137.69999999999999</v>
      </c>
      <c r="J156" s="2">
        <v>127.1</v>
      </c>
      <c r="K156" s="2">
        <v>133.80000000000001</v>
      </c>
      <c r="L156" s="2">
        <v>120.8</v>
      </c>
      <c r="M156" s="2">
        <v>141.30000000000001</v>
      </c>
      <c r="N156" s="2">
        <v>123.8</v>
      </c>
      <c r="O156" s="2">
        <v>142.6</v>
      </c>
      <c r="P156" s="2">
        <v>133.4</v>
      </c>
      <c r="Q156" s="2">
        <v>148</v>
      </c>
      <c r="R156" s="2">
        <v>131.19999999999999</v>
      </c>
      <c r="S156" s="2">
        <v>123</v>
      </c>
      <c r="T156" s="2">
        <v>130</v>
      </c>
      <c r="U156" s="2" t="s">
        <v>95</v>
      </c>
      <c r="V156" s="2">
        <v>121.4</v>
      </c>
      <c r="W156" s="2">
        <v>126</v>
      </c>
      <c r="X156" s="2">
        <v>123.4</v>
      </c>
      <c r="Y156" s="2">
        <v>114.3</v>
      </c>
      <c r="Z156" s="2">
        <v>122.6</v>
      </c>
      <c r="AA156" s="2">
        <v>133.6</v>
      </c>
      <c r="AB156" s="2">
        <v>122.2</v>
      </c>
      <c r="AC156" s="2">
        <v>122.5</v>
      </c>
      <c r="AD156" s="2">
        <v>129.1</v>
      </c>
    </row>
    <row r="157" spans="1:30" x14ac:dyDescent="0.35">
      <c r="A157" s="2" t="s">
        <v>35</v>
      </c>
      <c r="B157" s="2">
        <v>2017</v>
      </c>
      <c r="C157" s="2" t="s">
        <v>39</v>
      </c>
      <c r="D157" s="2">
        <v>133</v>
      </c>
      <c r="E157" s="2">
        <v>139.4</v>
      </c>
      <c r="F157" s="2">
        <v>126.1</v>
      </c>
      <c r="G157" s="2">
        <v>137.19999999999999</v>
      </c>
      <c r="H157" s="2">
        <v>118.4</v>
      </c>
      <c r="I157" s="2">
        <v>139.9</v>
      </c>
      <c r="J157" s="2">
        <v>123.4</v>
      </c>
      <c r="K157" s="2">
        <v>140.9</v>
      </c>
      <c r="L157" s="2">
        <v>118.5</v>
      </c>
      <c r="M157" s="2">
        <v>136.5</v>
      </c>
      <c r="N157" s="2">
        <v>127.4</v>
      </c>
      <c r="O157" s="2">
        <v>144.19999999999999</v>
      </c>
      <c r="P157" s="2">
        <v>133.5</v>
      </c>
      <c r="Q157" s="2">
        <v>145.4</v>
      </c>
      <c r="R157" s="2">
        <v>138</v>
      </c>
      <c r="S157" s="2">
        <v>131.1</v>
      </c>
      <c r="T157" s="2">
        <v>137</v>
      </c>
      <c r="U157" s="2" t="s">
        <v>95</v>
      </c>
      <c r="V157" s="2">
        <v>129.80000000000001</v>
      </c>
      <c r="W157" s="2">
        <v>130.4</v>
      </c>
      <c r="X157" s="2">
        <v>128.1</v>
      </c>
      <c r="Y157" s="2">
        <v>116.6</v>
      </c>
      <c r="Z157" s="2">
        <v>125.1</v>
      </c>
      <c r="AA157" s="2">
        <v>134.5</v>
      </c>
      <c r="AB157" s="2">
        <v>123.1</v>
      </c>
      <c r="AC157" s="2">
        <v>125.1</v>
      </c>
      <c r="AD157" s="2">
        <v>131.1</v>
      </c>
    </row>
    <row r="158" spans="1:30" x14ac:dyDescent="0.35">
      <c r="A158" s="2" t="s">
        <v>30</v>
      </c>
      <c r="B158" s="2">
        <v>2017</v>
      </c>
      <c r="C158" s="2" t="s">
        <v>41</v>
      </c>
      <c r="D158" s="2">
        <v>133.1</v>
      </c>
      <c r="E158" s="2">
        <v>140.30000000000001</v>
      </c>
      <c r="F158" s="2">
        <v>126.8</v>
      </c>
      <c r="G158" s="2">
        <v>138.19999999999999</v>
      </c>
      <c r="H158" s="2">
        <v>120.8</v>
      </c>
      <c r="I158" s="2">
        <v>140.19999999999999</v>
      </c>
      <c r="J158" s="2">
        <v>123.8</v>
      </c>
      <c r="K158" s="2">
        <v>141.80000000000001</v>
      </c>
      <c r="L158" s="2">
        <v>118.6</v>
      </c>
      <c r="M158" s="2">
        <v>134</v>
      </c>
      <c r="N158" s="2">
        <v>130.30000000000001</v>
      </c>
      <c r="O158" s="2">
        <v>145.80000000000001</v>
      </c>
      <c r="P158" s="2">
        <v>133.80000000000001</v>
      </c>
      <c r="Q158" s="2">
        <v>145.5</v>
      </c>
      <c r="R158" s="2">
        <v>142.5</v>
      </c>
      <c r="S158" s="2">
        <v>137.30000000000001</v>
      </c>
      <c r="T158" s="2">
        <v>141.80000000000001</v>
      </c>
      <c r="U158" s="2" t="s">
        <v>32</v>
      </c>
      <c r="V158" s="2">
        <v>135</v>
      </c>
      <c r="W158" s="2">
        <v>134.9</v>
      </c>
      <c r="X158" s="2">
        <v>131.4</v>
      </c>
      <c r="Y158" s="2">
        <v>119.4</v>
      </c>
      <c r="Z158" s="2">
        <v>129.4</v>
      </c>
      <c r="AA158" s="2">
        <v>136.30000000000001</v>
      </c>
      <c r="AB158" s="2">
        <v>123.7</v>
      </c>
      <c r="AC158" s="2">
        <v>127.9</v>
      </c>
      <c r="AD158" s="2">
        <v>133.30000000000001</v>
      </c>
    </row>
    <row r="159" spans="1:30" x14ac:dyDescent="0.35">
      <c r="A159" s="2" t="s">
        <v>33</v>
      </c>
      <c r="B159" s="2">
        <v>2017</v>
      </c>
      <c r="C159" s="2" t="s">
        <v>41</v>
      </c>
      <c r="D159" s="2">
        <v>132.6</v>
      </c>
      <c r="E159" s="2">
        <v>144.1</v>
      </c>
      <c r="F159" s="2">
        <v>125.6</v>
      </c>
      <c r="G159" s="2">
        <v>136.80000000000001</v>
      </c>
      <c r="H159" s="2">
        <v>113.4</v>
      </c>
      <c r="I159" s="2">
        <v>135.19999999999999</v>
      </c>
      <c r="J159" s="2">
        <v>129.19999999999999</v>
      </c>
      <c r="K159" s="2">
        <v>131.5</v>
      </c>
      <c r="L159" s="2">
        <v>121</v>
      </c>
      <c r="M159" s="2">
        <v>139.9</v>
      </c>
      <c r="N159" s="2">
        <v>123.8</v>
      </c>
      <c r="O159" s="2">
        <v>142.9</v>
      </c>
      <c r="P159" s="2">
        <v>133.6</v>
      </c>
      <c r="Q159" s="2">
        <v>148.30000000000001</v>
      </c>
      <c r="R159" s="2">
        <v>131.5</v>
      </c>
      <c r="S159" s="2">
        <v>123.2</v>
      </c>
      <c r="T159" s="2">
        <v>130.19999999999999</v>
      </c>
      <c r="U159" s="2" t="s">
        <v>96</v>
      </c>
      <c r="V159" s="2">
        <v>120.1</v>
      </c>
      <c r="W159" s="2">
        <v>126.5</v>
      </c>
      <c r="X159" s="2">
        <v>123.6</v>
      </c>
      <c r="Y159" s="2">
        <v>114.3</v>
      </c>
      <c r="Z159" s="2">
        <v>122.8</v>
      </c>
      <c r="AA159" s="2">
        <v>133.80000000000001</v>
      </c>
      <c r="AB159" s="2">
        <v>122</v>
      </c>
      <c r="AC159" s="2">
        <v>122.6</v>
      </c>
      <c r="AD159" s="2">
        <v>129.30000000000001</v>
      </c>
    </row>
    <row r="160" spans="1:30" x14ac:dyDescent="0.35">
      <c r="A160" s="2" t="s">
        <v>35</v>
      </c>
      <c r="B160" s="2">
        <v>2017</v>
      </c>
      <c r="C160" s="2" t="s">
        <v>41</v>
      </c>
      <c r="D160" s="2">
        <v>132.9</v>
      </c>
      <c r="E160" s="2">
        <v>141.6</v>
      </c>
      <c r="F160" s="2">
        <v>126.3</v>
      </c>
      <c r="G160" s="2">
        <v>137.69999999999999</v>
      </c>
      <c r="H160" s="2">
        <v>118.1</v>
      </c>
      <c r="I160" s="2">
        <v>137.9</v>
      </c>
      <c r="J160" s="2">
        <v>125.6</v>
      </c>
      <c r="K160" s="2">
        <v>138.30000000000001</v>
      </c>
      <c r="L160" s="2">
        <v>119.4</v>
      </c>
      <c r="M160" s="2">
        <v>136</v>
      </c>
      <c r="N160" s="2">
        <v>127.6</v>
      </c>
      <c r="O160" s="2">
        <v>144.5</v>
      </c>
      <c r="P160" s="2">
        <v>133.69999999999999</v>
      </c>
      <c r="Q160" s="2">
        <v>146.19999999999999</v>
      </c>
      <c r="R160" s="2">
        <v>138.19999999999999</v>
      </c>
      <c r="S160" s="2">
        <v>131.4</v>
      </c>
      <c r="T160" s="2">
        <v>137.19999999999999</v>
      </c>
      <c r="U160" s="2" t="s">
        <v>96</v>
      </c>
      <c r="V160" s="2">
        <v>129.4</v>
      </c>
      <c r="W160" s="2">
        <v>130.9</v>
      </c>
      <c r="X160" s="2">
        <v>128.4</v>
      </c>
      <c r="Y160" s="2">
        <v>116.7</v>
      </c>
      <c r="Z160" s="2">
        <v>125.7</v>
      </c>
      <c r="AA160" s="2">
        <v>134.80000000000001</v>
      </c>
      <c r="AB160" s="2">
        <v>123</v>
      </c>
      <c r="AC160" s="2">
        <v>125.3</v>
      </c>
      <c r="AD160" s="2">
        <v>131.4</v>
      </c>
    </row>
    <row r="161" spans="1:30" x14ac:dyDescent="0.35">
      <c r="A161" s="2" t="s">
        <v>30</v>
      </c>
      <c r="B161" s="2">
        <v>2017</v>
      </c>
      <c r="C161" s="2" t="s">
        <v>42</v>
      </c>
      <c r="D161" s="2">
        <v>133.5</v>
      </c>
      <c r="E161" s="2">
        <v>143.69999999999999</v>
      </c>
      <c r="F161" s="2">
        <v>128</v>
      </c>
      <c r="G161" s="2">
        <v>138.6</v>
      </c>
      <c r="H161" s="2">
        <v>120.9</v>
      </c>
      <c r="I161" s="2">
        <v>140.9</v>
      </c>
      <c r="J161" s="2">
        <v>128.80000000000001</v>
      </c>
      <c r="K161" s="2">
        <v>140.19999999999999</v>
      </c>
      <c r="L161" s="2">
        <v>118.9</v>
      </c>
      <c r="M161" s="2">
        <v>133.5</v>
      </c>
      <c r="N161" s="2">
        <v>130.4</v>
      </c>
      <c r="O161" s="2">
        <v>146.5</v>
      </c>
      <c r="P161" s="2">
        <v>134.9</v>
      </c>
      <c r="Q161" s="2">
        <v>145.80000000000001</v>
      </c>
      <c r="R161" s="2">
        <v>143.1</v>
      </c>
      <c r="S161" s="2">
        <v>137.69999999999999</v>
      </c>
      <c r="T161" s="2">
        <v>142.30000000000001</v>
      </c>
      <c r="U161" s="2" t="s">
        <v>32</v>
      </c>
      <c r="V161" s="2">
        <v>134.80000000000001</v>
      </c>
      <c r="W161" s="2">
        <v>135.19999999999999</v>
      </c>
      <c r="X161" s="2">
        <v>131.30000000000001</v>
      </c>
      <c r="Y161" s="2">
        <v>119.4</v>
      </c>
      <c r="Z161" s="2">
        <v>129.80000000000001</v>
      </c>
      <c r="AA161" s="2">
        <v>136.9</v>
      </c>
      <c r="AB161" s="2">
        <v>124.1</v>
      </c>
      <c r="AC161" s="2">
        <v>128.1</v>
      </c>
      <c r="AD161" s="2">
        <v>133.9</v>
      </c>
    </row>
    <row r="162" spans="1:30" x14ac:dyDescent="0.35">
      <c r="A162" s="2" t="s">
        <v>33</v>
      </c>
      <c r="B162" s="2">
        <v>2017</v>
      </c>
      <c r="C162" s="2" t="s">
        <v>42</v>
      </c>
      <c r="D162" s="2">
        <v>132.9</v>
      </c>
      <c r="E162" s="2">
        <v>148.69999999999999</v>
      </c>
      <c r="F162" s="2">
        <v>128.30000000000001</v>
      </c>
      <c r="G162" s="2">
        <v>137.30000000000001</v>
      </c>
      <c r="H162" s="2">
        <v>113.5</v>
      </c>
      <c r="I162" s="2">
        <v>137.19999999999999</v>
      </c>
      <c r="J162" s="2">
        <v>142.19999999999999</v>
      </c>
      <c r="K162" s="2">
        <v>128.19999999999999</v>
      </c>
      <c r="L162" s="2">
        <v>120.9</v>
      </c>
      <c r="M162" s="2">
        <v>138.80000000000001</v>
      </c>
      <c r="N162" s="2">
        <v>124.2</v>
      </c>
      <c r="O162" s="2">
        <v>143.1</v>
      </c>
      <c r="P162" s="2">
        <v>135.69999999999999</v>
      </c>
      <c r="Q162" s="2">
        <v>148.6</v>
      </c>
      <c r="R162" s="2">
        <v>131.5</v>
      </c>
      <c r="S162" s="2">
        <v>123.2</v>
      </c>
      <c r="T162" s="2">
        <v>130.19999999999999</v>
      </c>
      <c r="U162" s="2" t="s">
        <v>97</v>
      </c>
      <c r="V162" s="2">
        <v>119</v>
      </c>
      <c r="W162" s="2">
        <v>126.8</v>
      </c>
      <c r="X162" s="2">
        <v>123.8</v>
      </c>
      <c r="Y162" s="2">
        <v>113.9</v>
      </c>
      <c r="Z162" s="2">
        <v>122.9</v>
      </c>
      <c r="AA162" s="2">
        <v>134.30000000000001</v>
      </c>
      <c r="AB162" s="2">
        <v>122.5</v>
      </c>
      <c r="AC162" s="2">
        <v>122.7</v>
      </c>
      <c r="AD162" s="2">
        <v>129.9</v>
      </c>
    </row>
    <row r="163" spans="1:30" x14ac:dyDescent="0.35">
      <c r="A163" s="2" t="s">
        <v>35</v>
      </c>
      <c r="B163" s="2">
        <v>2017</v>
      </c>
      <c r="C163" s="2" t="s">
        <v>42</v>
      </c>
      <c r="D163" s="2">
        <v>133.30000000000001</v>
      </c>
      <c r="E163" s="2">
        <v>145.5</v>
      </c>
      <c r="F163" s="2">
        <v>128.1</v>
      </c>
      <c r="G163" s="2">
        <v>138.1</v>
      </c>
      <c r="H163" s="2">
        <v>118.2</v>
      </c>
      <c r="I163" s="2">
        <v>139.19999999999999</v>
      </c>
      <c r="J163" s="2">
        <v>133.30000000000001</v>
      </c>
      <c r="K163" s="2">
        <v>136.19999999999999</v>
      </c>
      <c r="L163" s="2">
        <v>119.6</v>
      </c>
      <c r="M163" s="2">
        <v>135.30000000000001</v>
      </c>
      <c r="N163" s="2">
        <v>127.8</v>
      </c>
      <c r="O163" s="2">
        <v>144.9</v>
      </c>
      <c r="P163" s="2">
        <v>135.19999999999999</v>
      </c>
      <c r="Q163" s="2">
        <v>146.5</v>
      </c>
      <c r="R163" s="2">
        <v>138.5</v>
      </c>
      <c r="S163" s="2">
        <v>131.69999999999999</v>
      </c>
      <c r="T163" s="2">
        <v>137.5</v>
      </c>
      <c r="U163" s="2" t="s">
        <v>97</v>
      </c>
      <c r="V163" s="2">
        <v>128.80000000000001</v>
      </c>
      <c r="W163" s="2">
        <v>131.19999999999999</v>
      </c>
      <c r="X163" s="2">
        <v>128.5</v>
      </c>
      <c r="Y163" s="2">
        <v>116.5</v>
      </c>
      <c r="Z163" s="2">
        <v>125.9</v>
      </c>
      <c r="AA163" s="2">
        <v>135.4</v>
      </c>
      <c r="AB163" s="2">
        <v>123.4</v>
      </c>
      <c r="AC163" s="2">
        <v>125.5</v>
      </c>
      <c r="AD163" s="2">
        <v>132</v>
      </c>
    </row>
    <row r="164" spans="1:30" x14ac:dyDescent="0.35">
      <c r="A164" s="2" t="s">
        <v>30</v>
      </c>
      <c r="B164" s="2">
        <v>2017</v>
      </c>
      <c r="C164" s="2" t="s">
        <v>44</v>
      </c>
      <c r="D164" s="2">
        <v>134</v>
      </c>
      <c r="E164" s="2">
        <v>144.19999999999999</v>
      </c>
      <c r="F164" s="2">
        <v>129.80000000000001</v>
      </c>
      <c r="G164" s="2">
        <v>139</v>
      </c>
      <c r="H164" s="2">
        <v>120.9</v>
      </c>
      <c r="I164" s="2">
        <v>143.9</v>
      </c>
      <c r="J164" s="2">
        <v>151.5</v>
      </c>
      <c r="K164" s="2">
        <v>138.1</v>
      </c>
      <c r="L164" s="2">
        <v>120</v>
      </c>
      <c r="M164" s="2">
        <v>133.9</v>
      </c>
      <c r="N164" s="2">
        <v>131.4</v>
      </c>
      <c r="O164" s="2">
        <v>147.69999999999999</v>
      </c>
      <c r="P164" s="2">
        <v>138.5</v>
      </c>
      <c r="Q164" s="2">
        <v>147.4</v>
      </c>
      <c r="R164" s="2">
        <v>144.30000000000001</v>
      </c>
      <c r="S164" s="2">
        <v>138.1</v>
      </c>
      <c r="T164" s="2">
        <v>143.5</v>
      </c>
      <c r="U164" s="2" t="s">
        <v>32</v>
      </c>
      <c r="V164" s="2">
        <v>135.30000000000001</v>
      </c>
      <c r="W164" s="2">
        <v>136.1</v>
      </c>
      <c r="X164" s="2">
        <v>132.1</v>
      </c>
      <c r="Y164" s="2">
        <v>119.1</v>
      </c>
      <c r="Z164" s="2">
        <v>130.6</v>
      </c>
      <c r="AA164" s="2">
        <v>138.6</v>
      </c>
      <c r="AB164" s="2">
        <v>124.4</v>
      </c>
      <c r="AC164" s="2">
        <v>128.6</v>
      </c>
      <c r="AD164" s="2">
        <v>136.19999999999999</v>
      </c>
    </row>
    <row r="165" spans="1:30" x14ac:dyDescent="0.35">
      <c r="A165" s="2" t="s">
        <v>33</v>
      </c>
      <c r="B165" s="2">
        <v>2017</v>
      </c>
      <c r="C165" s="2" t="s">
        <v>44</v>
      </c>
      <c r="D165" s="2">
        <v>132.80000000000001</v>
      </c>
      <c r="E165" s="2">
        <v>148.4</v>
      </c>
      <c r="F165" s="2">
        <v>129.4</v>
      </c>
      <c r="G165" s="2">
        <v>137.69999999999999</v>
      </c>
      <c r="H165" s="2">
        <v>113.4</v>
      </c>
      <c r="I165" s="2">
        <v>139.4</v>
      </c>
      <c r="J165" s="2">
        <v>175.1</v>
      </c>
      <c r="K165" s="2">
        <v>124.7</v>
      </c>
      <c r="L165" s="2">
        <v>121.5</v>
      </c>
      <c r="M165" s="2">
        <v>137.80000000000001</v>
      </c>
      <c r="N165" s="2">
        <v>124.4</v>
      </c>
      <c r="O165" s="2">
        <v>143.69999999999999</v>
      </c>
      <c r="P165" s="2">
        <v>139.80000000000001</v>
      </c>
      <c r="Q165" s="2">
        <v>150.5</v>
      </c>
      <c r="R165" s="2">
        <v>131.6</v>
      </c>
      <c r="S165" s="2">
        <v>123.7</v>
      </c>
      <c r="T165" s="2">
        <v>130.4</v>
      </c>
      <c r="U165" s="2" t="s">
        <v>98</v>
      </c>
      <c r="V165" s="2">
        <v>119.7</v>
      </c>
      <c r="W165" s="2">
        <v>127.2</v>
      </c>
      <c r="X165" s="2">
        <v>125</v>
      </c>
      <c r="Y165" s="2">
        <v>113.2</v>
      </c>
      <c r="Z165" s="2">
        <v>123.5</v>
      </c>
      <c r="AA165" s="2">
        <v>135.5</v>
      </c>
      <c r="AB165" s="2">
        <v>122.4</v>
      </c>
      <c r="AC165" s="2">
        <v>123</v>
      </c>
      <c r="AD165" s="2">
        <v>131.80000000000001</v>
      </c>
    </row>
    <row r="166" spans="1:30" x14ac:dyDescent="0.35">
      <c r="A166" s="2" t="s">
        <v>35</v>
      </c>
      <c r="B166" s="2">
        <v>2017</v>
      </c>
      <c r="C166" s="2" t="s">
        <v>44</v>
      </c>
      <c r="D166" s="2">
        <v>133.6</v>
      </c>
      <c r="E166" s="2">
        <v>145.69999999999999</v>
      </c>
      <c r="F166" s="2">
        <v>129.6</v>
      </c>
      <c r="G166" s="2">
        <v>138.5</v>
      </c>
      <c r="H166" s="2">
        <v>118.1</v>
      </c>
      <c r="I166" s="2">
        <v>141.80000000000001</v>
      </c>
      <c r="J166" s="2">
        <v>159.5</v>
      </c>
      <c r="K166" s="2">
        <v>133.6</v>
      </c>
      <c r="L166" s="2">
        <v>120.5</v>
      </c>
      <c r="M166" s="2">
        <v>135.19999999999999</v>
      </c>
      <c r="N166" s="2">
        <v>128.5</v>
      </c>
      <c r="O166" s="2">
        <v>145.80000000000001</v>
      </c>
      <c r="P166" s="2">
        <v>139</v>
      </c>
      <c r="Q166" s="2">
        <v>148.19999999999999</v>
      </c>
      <c r="R166" s="2">
        <v>139.30000000000001</v>
      </c>
      <c r="S166" s="2">
        <v>132.1</v>
      </c>
      <c r="T166" s="2">
        <v>138.30000000000001</v>
      </c>
      <c r="U166" s="2" t="s">
        <v>98</v>
      </c>
      <c r="V166" s="2">
        <v>129.4</v>
      </c>
      <c r="W166" s="2">
        <v>131.9</v>
      </c>
      <c r="X166" s="2">
        <v>129.4</v>
      </c>
      <c r="Y166" s="2">
        <v>116</v>
      </c>
      <c r="Z166" s="2">
        <v>126.6</v>
      </c>
      <c r="AA166" s="2">
        <v>136.80000000000001</v>
      </c>
      <c r="AB166" s="2">
        <v>123.6</v>
      </c>
      <c r="AC166" s="2">
        <v>125.9</v>
      </c>
      <c r="AD166" s="2">
        <v>134.19999999999999</v>
      </c>
    </row>
    <row r="167" spans="1:30" x14ac:dyDescent="0.35">
      <c r="A167" s="2" t="s">
        <v>30</v>
      </c>
      <c r="B167" s="2">
        <v>2017</v>
      </c>
      <c r="C167" s="2" t="s">
        <v>46</v>
      </c>
      <c r="D167" s="2">
        <v>134.80000000000001</v>
      </c>
      <c r="E167" s="2">
        <v>143.1</v>
      </c>
      <c r="F167" s="2">
        <v>130</v>
      </c>
      <c r="G167" s="2">
        <v>139.4</v>
      </c>
      <c r="H167" s="2">
        <v>120.5</v>
      </c>
      <c r="I167" s="2">
        <v>148</v>
      </c>
      <c r="J167" s="2">
        <v>162.9</v>
      </c>
      <c r="K167" s="2">
        <v>137.4</v>
      </c>
      <c r="L167" s="2">
        <v>120.8</v>
      </c>
      <c r="M167" s="2">
        <v>134.69999999999999</v>
      </c>
      <c r="N167" s="2">
        <v>131.6</v>
      </c>
      <c r="O167" s="2">
        <v>148.69999999999999</v>
      </c>
      <c r="P167" s="2">
        <v>140.6</v>
      </c>
      <c r="Q167" s="2">
        <v>149</v>
      </c>
      <c r="R167" s="2">
        <v>145.30000000000001</v>
      </c>
      <c r="S167" s="2">
        <v>139.19999999999999</v>
      </c>
      <c r="T167" s="2">
        <v>144.5</v>
      </c>
      <c r="U167" s="2" t="s">
        <v>32</v>
      </c>
      <c r="V167" s="2">
        <v>136.4</v>
      </c>
      <c r="W167" s="2">
        <v>137.30000000000001</v>
      </c>
      <c r="X167" s="2">
        <v>133</v>
      </c>
      <c r="Y167" s="2">
        <v>120.3</v>
      </c>
      <c r="Z167" s="2">
        <v>131.5</v>
      </c>
      <c r="AA167" s="2">
        <v>140.19999999999999</v>
      </c>
      <c r="AB167" s="2">
        <v>125.4</v>
      </c>
      <c r="AC167" s="2">
        <v>129.69999999999999</v>
      </c>
      <c r="AD167" s="2">
        <v>137.80000000000001</v>
      </c>
    </row>
    <row r="168" spans="1:30" x14ac:dyDescent="0.35">
      <c r="A168" s="2" t="s">
        <v>33</v>
      </c>
      <c r="B168" s="2">
        <v>2017</v>
      </c>
      <c r="C168" s="2" t="s">
        <v>46</v>
      </c>
      <c r="D168" s="2">
        <v>133.19999999999999</v>
      </c>
      <c r="E168" s="2">
        <v>143.9</v>
      </c>
      <c r="F168" s="2">
        <v>128.30000000000001</v>
      </c>
      <c r="G168" s="2">
        <v>138.30000000000001</v>
      </c>
      <c r="H168" s="2">
        <v>114.1</v>
      </c>
      <c r="I168" s="2">
        <v>142.69999999999999</v>
      </c>
      <c r="J168" s="2">
        <v>179.8</v>
      </c>
      <c r="K168" s="2">
        <v>123.5</v>
      </c>
      <c r="L168" s="2">
        <v>122.1</v>
      </c>
      <c r="M168" s="2">
        <v>137.5</v>
      </c>
      <c r="N168" s="2">
        <v>124.6</v>
      </c>
      <c r="O168" s="2">
        <v>144.5</v>
      </c>
      <c r="P168" s="2">
        <v>140.5</v>
      </c>
      <c r="Q168" s="2">
        <v>152.1</v>
      </c>
      <c r="R168" s="2">
        <v>132.69999999999999</v>
      </c>
      <c r="S168" s="2">
        <v>124.3</v>
      </c>
      <c r="T168" s="2">
        <v>131.4</v>
      </c>
      <c r="U168" s="2" t="s">
        <v>99</v>
      </c>
      <c r="V168" s="2">
        <v>118.9</v>
      </c>
      <c r="W168" s="2">
        <v>127.7</v>
      </c>
      <c r="X168" s="2">
        <v>125.7</v>
      </c>
      <c r="Y168" s="2">
        <v>114.6</v>
      </c>
      <c r="Z168" s="2">
        <v>124.1</v>
      </c>
      <c r="AA168" s="2">
        <v>135.69999999999999</v>
      </c>
      <c r="AB168" s="2">
        <v>123.3</v>
      </c>
      <c r="AC168" s="2">
        <v>123.8</v>
      </c>
      <c r="AD168" s="2">
        <v>132.69999999999999</v>
      </c>
    </row>
    <row r="169" spans="1:30" x14ac:dyDescent="0.35">
      <c r="A169" s="2" t="s">
        <v>35</v>
      </c>
      <c r="B169" s="2">
        <v>2017</v>
      </c>
      <c r="C169" s="2" t="s">
        <v>46</v>
      </c>
      <c r="D169" s="2">
        <v>134.30000000000001</v>
      </c>
      <c r="E169" s="2">
        <v>143.4</v>
      </c>
      <c r="F169" s="2">
        <v>129.30000000000001</v>
      </c>
      <c r="G169" s="2">
        <v>139</v>
      </c>
      <c r="H169" s="2">
        <v>118.1</v>
      </c>
      <c r="I169" s="2">
        <v>145.5</v>
      </c>
      <c r="J169" s="2">
        <v>168.6</v>
      </c>
      <c r="K169" s="2">
        <v>132.69999999999999</v>
      </c>
      <c r="L169" s="2">
        <v>121.2</v>
      </c>
      <c r="M169" s="2">
        <v>135.6</v>
      </c>
      <c r="N169" s="2">
        <v>128.69999999999999</v>
      </c>
      <c r="O169" s="2">
        <v>146.80000000000001</v>
      </c>
      <c r="P169" s="2">
        <v>140.6</v>
      </c>
      <c r="Q169" s="2">
        <v>149.80000000000001</v>
      </c>
      <c r="R169" s="2">
        <v>140.30000000000001</v>
      </c>
      <c r="S169" s="2">
        <v>133</v>
      </c>
      <c r="T169" s="2">
        <v>139.30000000000001</v>
      </c>
      <c r="U169" s="2" t="s">
        <v>99</v>
      </c>
      <c r="V169" s="2">
        <v>129.80000000000001</v>
      </c>
      <c r="W169" s="2">
        <v>132.80000000000001</v>
      </c>
      <c r="X169" s="2">
        <v>130.19999999999999</v>
      </c>
      <c r="Y169" s="2">
        <v>117.3</v>
      </c>
      <c r="Z169" s="2">
        <v>127.3</v>
      </c>
      <c r="AA169" s="2">
        <v>137.6</v>
      </c>
      <c r="AB169" s="2">
        <v>124.5</v>
      </c>
      <c r="AC169" s="2">
        <v>126.8</v>
      </c>
      <c r="AD169" s="2">
        <v>135.4</v>
      </c>
    </row>
    <row r="170" spans="1:30" x14ac:dyDescent="0.35">
      <c r="A170" s="2" t="s">
        <v>30</v>
      </c>
      <c r="B170" s="2">
        <v>2017</v>
      </c>
      <c r="C170" s="2" t="s">
        <v>48</v>
      </c>
      <c r="D170" s="2">
        <v>135.19999999999999</v>
      </c>
      <c r="E170" s="2">
        <v>142</v>
      </c>
      <c r="F170" s="2">
        <v>130.5</v>
      </c>
      <c r="G170" s="2">
        <v>140.19999999999999</v>
      </c>
      <c r="H170" s="2">
        <v>120.7</v>
      </c>
      <c r="I170" s="2">
        <v>147.80000000000001</v>
      </c>
      <c r="J170" s="2">
        <v>154.5</v>
      </c>
      <c r="K170" s="2">
        <v>137.1</v>
      </c>
      <c r="L170" s="2">
        <v>121</v>
      </c>
      <c r="M170" s="2">
        <v>134.69999999999999</v>
      </c>
      <c r="N170" s="2">
        <v>131.69999999999999</v>
      </c>
      <c r="O170" s="2">
        <v>149.30000000000001</v>
      </c>
      <c r="P170" s="2">
        <v>139.6</v>
      </c>
      <c r="Q170" s="2">
        <v>149.80000000000001</v>
      </c>
      <c r="R170" s="2">
        <v>146.1</v>
      </c>
      <c r="S170" s="2">
        <v>139.69999999999999</v>
      </c>
      <c r="T170" s="2">
        <v>145.19999999999999</v>
      </c>
      <c r="U170" s="2" t="s">
        <v>32</v>
      </c>
      <c r="V170" s="2">
        <v>137.4</v>
      </c>
      <c r="W170" s="2">
        <v>137.9</v>
      </c>
      <c r="X170" s="2">
        <v>133.4</v>
      </c>
      <c r="Y170" s="2">
        <v>121.2</v>
      </c>
      <c r="Z170" s="2">
        <v>132.30000000000001</v>
      </c>
      <c r="AA170" s="2">
        <v>139.6</v>
      </c>
      <c r="AB170" s="2">
        <v>126.7</v>
      </c>
      <c r="AC170" s="2">
        <v>130.30000000000001</v>
      </c>
      <c r="AD170" s="2">
        <v>137.6</v>
      </c>
    </row>
    <row r="171" spans="1:30" x14ac:dyDescent="0.35">
      <c r="A171" s="2" t="s">
        <v>33</v>
      </c>
      <c r="B171" s="2">
        <v>2017</v>
      </c>
      <c r="C171" s="2" t="s">
        <v>48</v>
      </c>
      <c r="D171" s="2">
        <v>133.6</v>
      </c>
      <c r="E171" s="2">
        <v>143</v>
      </c>
      <c r="F171" s="2">
        <v>129.69999999999999</v>
      </c>
      <c r="G171" s="2">
        <v>138.69999999999999</v>
      </c>
      <c r="H171" s="2">
        <v>114.5</v>
      </c>
      <c r="I171" s="2">
        <v>137.5</v>
      </c>
      <c r="J171" s="2">
        <v>160.69999999999999</v>
      </c>
      <c r="K171" s="2">
        <v>124.5</v>
      </c>
      <c r="L171" s="2">
        <v>122.4</v>
      </c>
      <c r="M171" s="2">
        <v>137.30000000000001</v>
      </c>
      <c r="N171" s="2">
        <v>124.8</v>
      </c>
      <c r="O171" s="2">
        <v>145</v>
      </c>
      <c r="P171" s="2">
        <v>138</v>
      </c>
      <c r="Q171" s="2">
        <v>153.6</v>
      </c>
      <c r="R171" s="2">
        <v>133.30000000000001</v>
      </c>
      <c r="S171" s="2">
        <v>124.6</v>
      </c>
      <c r="T171" s="2">
        <v>132</v>
      </c>
      <c r="U171" s="2" t="s">
        <v>100</v>
      </c>
      <c r="V171" s="2">
        <v>120.6</v>
      </c>
      <c r="W171" s="2">
        <v>128.1</v>
      </c>
      <c r="X171" s="2">
        <v>126.1</v>
      </c>
      <c r="Y171" s="2">
        <v>115.7</v>
      </c>
      <c r="Z171" s="2">
        <v>124.5</v>
      </c>
      <c r="AA171" s="2">
        <v>135.9</v>
      </c>
      <c r="AB171" s="2">
        <v>124.4</v>
      </c>
      <c r="AC171" s="2">
        <v>124.5</v>
      </c>
      <c r="AD171" s="2">
        <v>132.4</v>
      </c>
    </row>
    <row r="172" spans="1:30" x14ac:dyDescent="0.35">
      <c r="A172" s="2" t="s">
        <v>35</v>
      </c>
      <c r="B172" s="2">
        <v>2017</v>
      </c>
      <c r="C172" s="2" t="s">
        <v>48</v>
      </c>
      <c r="D172" s="2">
        <v>134.69999999999999</v>
      </c>
      <c r="E172" s="2">
        <v>142.4</v>
      </c>
      <c r="F172" s="2">
        <v>130.19999999999999</v>
      </c>
      <c r="G172" s="2">
        <v>139.6</v>
      </c>
      <c r="H172" s="2">
        <v>118.4</v>
      </c>
      <c r="I172" s="2">
        <v>143</v>
      </c>
      <c r="J172" s="2">
        <v>156.6</v>
      </c>
      <c r="K172" s="2">
        <v>132.9</v>
      </c>
      <c r="L172" s="2">
        <v>121.5</v>
      </c>
      <c r="M172" s="2">
        <v>135.6</v>
      </c>
      <c r="N172" s="2">
        <v>128.80000000000001</v>
      </c>
      <c r="O172" s="2">
        <v>147.30000000000001</v>
      </c>
      <c r="P172" s="2">
        <v>139</v>
      </c>
      <c r="Q172" s="2">
        <v>150.80000000000001</v>
      </c>
      <c r="R172" s="2">
        <v>141.1</v>
      </c>
      <c r="S172" s="2">
        <v>133.4</v>
      </c>
      <c r="T172" s="2">
        <v>140</v>
      </c>
      <c r="U172" s="2" t="s">
        <v>100</v>
      </c>
      <c r="V172" s="2">
        <v>131</v>
      </c>
      <c r="W172" s="2">
        <v>133.30000000000001</v>
      </c>
      <c r="X172" s="2">
        <v>130.6</v>
      </c>
      <c r="Y172" s="2">
        <v>118.3</v>
      </c>
      <c r="Z172" s="2">
        <v>127.9</v>
      </c>
      <c r="AA172" s="2">
        <v>137.4</v>
      </c>
      <c r="AB172" s="2">
        <v>125.7</v>
      </c>
      <c r="AC172" s="2">
        <v>127.5</v>
      </c>
      <c r="AD172" s="2">
        <v>135.19999999999999</v>
      </c>
    </row>
    <row r="173" spans="1:30" x14ac:dyDescent="0.35">
      <c r="A173" s="2" t="s">
        <v>30</v>
      </c>
      <c r="B173" s="2">
        <v>2017</v>
      </c>
      <c r="C173" s="2" t="s">
        <v>50</v>
      </c>
      <c r="D173" s="2">
        <v>135.9</v>
      </c>
      <c r="E173" s="2">
        <v>141.9</v>
      </c>
      <c r="F173" s="2">
        <v>131</v>
      </c>
      <c r="G173" s="2">
        <v>141.5</v>
      </c>
      <c r="H173" s="2">
        <v>121.4</v>
      </c>
      <c r="I173" s="2">
        <v>146.69999999999999</v>
      </c>
      <c r="J173" s="2">
        <v>157.1</v>
      </c>
      <c r="K173" s="2">
        <v>136.4</v>
      </c>
      <c r="L173" s="2">
        <v>121.4</v>
      </c>
      <c r="M173" s="2">
        <v>135.6</v>
      </c>
      <c r="N173" s="2">
        <v>131.30000000000001</v>
      </c>
      <c r="O173" s="2">
        <v>150.30000000000001</v>
      </c>
      <c r="P173" s="2">
        <v>140.4</v>
      </c>
      <c r="Q173" s="2">
        <v>150.5</v>
      </c>
      <c r="R173" s="2">
        <v>147.19999999999999</v>
      </c>
      <c r="S173" s="2">
        <v>140.6</v>
      </c>
      <c r="T173" s="2">
        <v>146.19999999999999</v>
      </c>
      <c r="U173" s="2" t="s">
        <v>32</v>
      </c>
      <c r="V173" s="2">
        <v>138.1</v>
      </c>
      <c r="W173" s="2">
        <v>138.4</v>
      </c>
      <c r="X173" s="2">
        <v>134.19999999999999</v>
      </c>
      <c r="Y173" s="2">
        <v>121</v>
      </c>
      <c r="Z173" s="2">
        <v>133</v>
      </c>
      <c r="AA173" s="2">
        <v>140.1</v>
      </c>
      <c r="AB173" s="2">
        <v>127.4</v>
      </c>
      <c r="AC173" s="2">
        <v>130.69999999999999</v>
      </c>
      <c r="AD173" s="2">
        <v>138.30000000000001</v>
      </c>
    </row>
    <row r="174" spans="1:30" x14ac:dyDescent="0.35">
      <c r="A174" s="2" t="s">
        <v>33</v>
      </c>
      <c r="B174" s="2">
        <v>2017</v>
      </c>
      <c r="C174" s="2" t="s">
        <v>50</v>
      </c>
      <c r="D174" s="2">
        <v>133.9</v>
      </c>
      <c r="E174" s="2">
        <v>142.80000000000001</v>
      </c>
      <c r="F174" s="2">
        <v>131.4</v>
      </c>
      <c r="G174" s="2">
        <v>139.1</v>
      </c>
      <c r="H174" s="2">
        <v>114.9</v>
      </c>
      <c r="I174" s="2">
        <v>135.6</v>
      </c>
      <c r="J174" s="2">
        <v>173.2</v>
      </c>
      <c r="K174" s="2">
        <v>124.1</v>
      </c>
      <c r="L174" s="2">
        <v>122.6</v>
      </c>
      <c r="M174" s="2">
        <v>137.80000000000001</v>
      </c>
      <c r="N174" s="2">
        <v>125.1</v>
      </c>
      <c r="O174" s="2">
        <v>145.5</v>
      </c>
      <c r="P174" s="2">
        <v>139.69999999999999</v>
      </c>
      <c r="Q174" s="2">
        <v>154.6</v>
      </c>
      <c r="R174" s="2">
        <v>134</v>
      </c>
      <c r="S174" s="2">
        <v>124.9</v>
      </c>
      <c r="T174" s="2">
        <v>132.6</v>
      </c>
      <c r="U174" s="2" t="s">
        <v>101</v>
      </c>
      <c r="V174" s="2">
        <v>122.6</v>
      </c>
      <c r="W174" s="2">
        <v>128.30000000000001</v>
      </c>
      <c r="X174" s="2">
        <v>126.6</v>
      </c>
      <c r="Y174" s="2">
        <v>115</v>
      </c>
      <c r="Z174" s="2">
        <v>124.8</v>
      </c>
      <c r="AA174" s="2">
        <v>136.30000000000001</v>
      </c>
      <c r="AB174" s="2">
        <v>124.6</v>
      </c>
      <c r="AC174" s="2">
        <v>124.5</v>
      </c>
      <c r="AD174" s="2">
        <v>133.5</v>
      </c>
    </row>
    <row r="175" spans="1:30" x14ac:dyDescent="0.35">
      <c r="A175" s="2" t="s">
        <v>35</v>
      </c>
      <c r="B175" s="2">
        <v>2017</v>
      </c>
      <c r="C175" s="2" t="s">
        <v>50</v>
      </c>
      <c r="D175" s="2">
        <v>135.30000000000001</v>
      </c>
      <c r="E175" s="2">
        <v>142.19999999999999</v>
      </c>
      <c r="F175" s="2">
        <v>131.19999999999999</v>
      </c>
      <c r="G175" s="2">
        <v>140.6</v>
      </c>
      <c r="H175" s="2">
        <v>119</v>
      </c>
      <c r="I175" s="2">
        <v>141.5</v>
      </c>
      <c r="J175" s="2">
        <v>162.6</v>
      </c>
      <c r="K175" s="2">
        <v>132.30000000000001</v>
      </c>
      <c r="L175" s="2">
        <v>121.8</v>
      </c>
      <c r="M175" s="2">
        <v>136.30000000000001</v>
      </c>
      <c r="N175" s="2">
        <v>128.69999999999999</v>
      </c>
      <c r="O175" s="2">
        <v>148.1</v>
      </c>
      <c r="P175" s="2">
        <v>140.1</v>
      </c>
      <c r="Q175" s="2">
        <v>151.6</v>
      </c>
      <c r="R175" s="2">
        <v>142</v>
      </c>
      <c r="S175" s="2">
        <v>134.1</v>
      </c>
      <c r="T175" s="2">
        <v>140.80000000000001</v>
      </c>
      <c r="U175" s="2" t="s">
        <v>101</v>
      </c>
      <c r="V175" s="2">
        <v>132.19999999999999</v>
      </c>
      <c r="W175" s="2">
        <v>133.6</v>
      </c>
      <c r="X175" s="2">
        <v>131.30000000000001</v>
      </c>
      <c r="Y175" s="2">
        <v>117.8</v>
      </c>
      <c r="Z175" s="2">
        <v>128.4</v>
      </c>
      <c r="AA175" s="2">
        <v>137.9</v>
      </c>
      <c r="AB175" s="2">
        <v>126.2</v>
      </c>
      <c r="AC175" s="2">
        <v>127.7</v>
      </c>
      <c r="AD175" s="2">
        <v>136.1</v>
      </c>
    </row>
    <row r="176" spans="1:30" x14ac:dyDescent="0.35">
      <c r="A176" s="2" t="s">
        <v>30</v>
      </c>
      <c r="B176" s="2">
        <v>2017</v>
      </c>
      <c r="C176" s="2" t="s">
        <v>53</v>
      </c>
      <c r="D176" s="2">
        <v>136.30000000000001</v>
      </c>
      <c r="E176" s="2">
        <v>142.5</v>
      </c>
      <c r="F176" s="2">
        <v>140.5</v>
      </c>
      <c r="G176" s="2">
        <v>141.5</v>
      </c>
      <c r="H176" s="2">
        <v>121.6</v>
      </c>
      <c r="I176" s="2">
        <v>147.30000000000001</v>
      </c>
      <c r="J176" s="2">
        <v>168</v>
      </c>
      <c r="K176" s="2">
        <v>135.80000000000001</v>
      </c>
      <c r="L176" s="2">
        <v>122.5</v>
      </c>
      <c r="M176" s="2">
        <v>136</v>
      </c>
      <c r="N176" s="2">
        <v>131.9</v>
      </c>
      <c r="O176" s="2">
        <v>151.4</v>
      </c>
      <c r="P176" s="2">
        <v>142.4</v>
      </c>
      <c r="Q176" s="2">
        <v>152.1</v>
      </c>
      <c r="R176" s="2">
        <v>148.19999999999999</v>
      </c>
      <c r="S176" s="2">
        <v>141.5</v>
      </c>
      <c r="T176" s="2">
        <v>147.30000000000001</v>
      </c>
      <c r="U176" s="2" t="s">
        <v>32</v>
      </c>
      <c r="V176" s="2">
        <v>141.1</v>
      </c>
      <c r="W176" s="2">
        <v>139.4</v>
      </c>
      <c r="X176" s="2">
        <v>135.80000000000001</v>
      </c>
      <c r="Y176" s="2">
        <v>121.6</v>
      </c>
      <c r="Z176" s="2">
        <v>133.69999999999999</v>
      </c>
      <c r="AA176" s="2">
        <v>141.5</v>
      </c>
      <c r="AB176" s="2">
        <v>128.1</v>
      </c>
      <c r="AC176" s="2">
        <v>131.69999999999999</v>
      </c>
      <c r="AD176" s="2">
        <v>140</v>
      </c>
    </row>
    <row r="177" spans="1:30" x14ac:dyDescent="0.35">
      <c r="A177" s="2" t="s">
        <v>33</v>
      </c>
      <c r="B177" s="2">
        <v>2017</v>
      </c>
      <c r="C177" s="2" t="s">
        <v>53</v>
      </c>
      <c r="D177" s="2">
        <v>134.30000000000001</v>
      </c>
      <c r="E177" s="2">
        <v>142.1</v>
      </c>
      <c r="F177" s="2">
        <v>146.69999999999999</v>
      </c>
      <c r="G177" s="2">
        <v>139.5</v>
      </c>
      <c r="H177" s="2">
        <v>115.2</v>
      </c>
      <c r="I177" s="2">
        <v>136.4</v>
      </c>
      <c r="J177" s="2">
        <v>185.2</v>
      </c>
      <c r="K177" s="2">
        <v>122.2</v>
      </c>
      <c r="L177" s="2">
        <v>123.9</v>
      </c>
      <c r="M177" s="2">
        <v>138.30000000000001</v>
      </c>
      <c r="N177" s="2">
        <v>125.4</v>
      </c>
      <c r="O177" s="2">
        <v>146</v>
      </c>
      <c r="P177" s="2">
        <v>141.5</v>
      </c>
      <c r="Q177" s="2">
        <v>156.19999999999999</v>
      </c>
      <c r="R177" s="2">
        <v>135</v>
      </c>
      <c r="S177" s="2">
        <v>125.4</v>
      </c>
      <c r="T177" s="2">
        <v>133.5</v>
      </c>
      <c r="U177" s="2" t="s">
        <v>102</v>
      </c>
      <c r="V177" s="2">
        <v>125.7</v>
      </c>
      <c r="W177" s="2">
        <v>128.80000000000001</v>
      </c>
      <c r="X177" s="2">
        <v>127.4</v>
      </c>
      <c r="Y177" s="2">
        <v>115.3</v>
      </c>
      <c r="Z177" s="2">
        <v>125.1</v>
      </c>
      <c r="AA177" s="2">
        <v>136.6</v>
      </c>
      <c r="AB177" s="2">
        <v>124.9</v>
      </c>
      <c r="AC177" s="2">
        <v>124.9</v>
      </c>
      <c r="AD177" s="2">
        <v>134.80000000000001</v>
      </c>
    </row>
    <row r="178" spans="1:30" x14ac:dyDescent="0.35">
      <c r="A178" s="2" t="s">
        <v>35</v>
      </c>
      <c r="B178" s="2">
        <v>2017</v>
      </c>
      <c r="C178" s="2" t="s">
        <v>53</v>
      </c>
      <c r="D178" s="2">
        <v>135.69999999999999</v>
      </c>
      <c r="E178" s="2">
        <v>142.4</v>
      </c>
      <c r="F178" s="2">
        <v>142.9</v>
      </c>
      <c r="G178" s="2">
        <v>140.80000000000001</v>
      </c>
      <c r="H178" s="2">
        <v>119.2</v>
      </c>
      <c r="I178" s="2">
        <v>142.19999999999999</v>
      </c>
      <c r="J178" s="2">
        <v>173.8</v>
      </c>
      <c r="K178" s="2">
        <v>131.19999999999999</v>
      </c>
      <c r="L178" s="2">
        <v>123</v>
      </c>
      <c r="M178" s="2">
        <v>136.80000000000001</v>
      </c>
      <c r="N178" s="2">
        <v>129.19999999999999</v>
      </c>
      <c r="O178" s="2">
        <v>148.9</v>
      </c>
      <c r="P178" s="2">
        <v>142.1</v>
      </c>
      <c r="Q178" s="2">
        <v>153.19999999999999</v>
      </c>
      <c r="R178" s="2">
        <v>143</v>
      </c>
      <c r="S178" s="2">
        <v>134.80000000000001</v>
      </c>
      <c r="T178" s="2">
        <v>141.80000000000001</v>
      </c>
      <c r="U178" s="2" t="s">
        <v>102</v>
      </c>
      <c r="V178" s="2">
        <v>135.30000000000001</v>
      </c>
      <c r="W178" s="2">
        <v>134.4</v>
      </c>
      <c r="X178" s="2">
        <v>132.6</v>
      </c>
      <c r="Y178" s="2">
        <v>118.3</v>
      </c>
      <c r="Z178" s="2">
        <v>128.9</v>
      </c>
      <c r="AA178" s="2">
        <v>138.6</v>
      </c>
      <c r="AB178" s="2">
        <v>126.8</v>
      </c>
      <c r="AC178" s="2">
        <v>128.4</v>
      </c>
      <c r="AD178" s="2">
        <v>137.6</v>
      </c>
    </row>
    <row r="179" spans="1:30" x14ac:dyDescent="0.35">
      <c r="A179" s="2" t="s">
        <v>30</v>
      </c>
      <c r="B179" s="2">
        <v>2017</v>
      </c>
      <c r="C179" s="2" t="s">
        <v>55</v>
      </c>
      <c r="D179" s="2">
        <v>136.4</v>
      </c>
      <c r="E179" s="2">
        <v>143.69999999999999</v>
      </c>
      <c r="F179" s="2">
        <v>144.80000000000001</v>
      </c>
      <c r="G179" s="2">
        <v>141.9</v>
      </c>
      <c r="H179" s="2">
        <v>123.1</v>
      </c>
      <c r="I179" s="2">
        <v>147.19999999999999</v>
      </c>
      <c r="J179" s="2">
        <v>161</v>
      </c>
      <c r="K179" s="2">
        <v>133.80000000000001</v>
      </c>
      <c r="L179" s="2">
        <v>121.9</v>
      </c>
      <c r="M179" s="2">
        <v>135.80000000000001</v>
      </c>
      <c r="N179" s="2">
        <v>131.1</v>
      </c>
      <c r="O179" s="2">
        <v>151.4</v>
      </c>
      <c r="P179" s="2">
        <v>141.5</v>
      </c>
      <c r="Q179" s="2">
        <v>153.19999999999999</v>
      </c>
      <c r="R179" s="2">
        <v>148</v>
      </c>
      <c r="S179" s="2">
        <v>141.9</v>
      </c>
      <c r="T179" s="2">
        <v>147.19999999999999</v>
      </c>
      <c r="U179" s="2" t="s">
        <v>32</v>
      </c>
      <c r="V179" s="2">
        <v>142.6</v>
      </c>
      <c r="W179" s="2">
        <v>139.5</v>
      </c>
      <c r="X179" s="2">
        <v>136.1</v>
      </c>
      <c r="Y179" s="2">
        <v>122</v>
      </c>
      <c r="Z179" s="2">
        <v>133.4</v>
      </c>
      <c r="AA179" s="2">
        <v>141.1</v>
      </c>
      <c r="AB179" s="2">
        <v>127.8</v>
      </c>
      <c r="AC179" s="2">
        <v>131.9</v>
      </c>
      <c r="AD179" s="2">
        <v>139.80000000000001</v>
      </c>
    </row>
    <row r="180" spans="1:30" x14ac:dyDescent="0.35">
      <c r="A180" s="2" t="s">
        <v>33</v>
      </c>
      <c r="B180" s="2">
        <v>2017</v>
      </c>
      <c r="C180" s="2" t="s">
        <v>55</v>
      </c>
      <c r="D180" s="2">
        <v>134.4</v>
      </c>
      <c r="E180" s="2">
        <v>142.6</v>
      </c>
      <c r="F180" s="2">
        <v>145.9</v>
      </c>
      <c r="G180" s="2">
        <v>139.5</v>
      </c>
      <c r="H180" s="2">
        <v>115.9</v>
      </c>
      <c r="I180" s="2">
        <v>135</v>
      </c>
      <c r="J180" s="2">
        <v>163.19999999999999</v>
      </c>
      <c r="K180" s="2">
        <v>119.8</v>
      </c>
      <c r="L180" s="2">
        <v>120.7</v>
      </c>
      <c r="M180" s="2">
        <v>139.69999999999999</v>
      </c>
      <c r="N180" s="2">
        <v>125.7</v>
      </c>
      <c r="O180" s="2">
        <v>146.30000000000001</v>
      </c>
      <c r="P180" s="2">
        <v>138.80000000000001</v>
      </c>
      <c r="Q180" s="2">
        <v>157</v>
      </c>
      <c r="R180" s="2">
        <v>135.6</v>
      </c>
      <c r="S180" s="2">
        <v>125.6</v>
      </c>
      <c r="T180" s="2">
        <v>134</v>
      </c>
      <c r="U180" s="2" t="s">
        <v>103</v>
      </c>
      <c r="V180" s="2">
        <v>126.8</v>
      </c>
      <c r="W180" s="2">
        <v>129.30000000000001</v>
      </c>
      <c r="X180" s="2">
        <v>128.19999999999999</v>
      </c>
      <c r="Y180" s="2">
        <v>115.3</v>
      </c>
      <c r="Z180" s="2">
        <v>125.6</v>
      </c>
      <c r="AA180" s="2">
        <v>136.69999999999999</v>
      </c>
      <c r="AB180" s="2">
        <v>124.6</v>
      </c>
      <c r="AC180" s="2">
        <v>125.1</v>
      </c>
      <c r="AD180" s="2">
        <v>134.1</v>
      </c>
    </row>
    <row r="181" spans="1:30" x14ac:dyDescent="0.35">
      <c r="A181" s="2" t="s">
        <v>35</v>
      </c>
      <c r="B181" s="2">
        <v>2017</v>
      </c>
      <c r="C181" s="2" t="s">
        <v>55</v>
      </c>
      <c r="D181" s="2">
        <v>135.80000000000001</v>
      </c>
      <c r="E181" s="2">
        <v>143.30000000000001</v>
      </c>
      <c r="F181" s="2">
        <v>145.19999999999999</v>
      </c>
      <c r="G181" s="2">
        <v>141</v>
      </c>
      <c r="H181" s="2">
        <v>120.5</v>
      </c>
      <c r="I181" s="2">
        <v>141.5</v>
      </c>
      <c r="J181" s="2">
        <v>161.69999999999999</v>
      </c>
      <c r="K181" s="2">
        <v>129.1</v>
      </c>
      <c r="L181" s="2">
        <v>121.5</v>
      </c>
      <c r="M181" s="2">
        <v>137.1</v>
      </c>
      <c r="N181" s="2">
        <v>128.80000000000001</v>
      </c>
      <c r="O181" s="2">
        <v>149</v>
      </c>
      <c r="P181" s="2">
        <v>140.5</v>
      </c>
      <c r="Q181" s="2">
        <v>154.19999999999999</v>
      </c>
      <c r="R181" s="2">
        <v>143.1</v>
      </c>
      <c r="S181" s="2">
        <v>135.1</v>
      </c>
      <c r="T181" s="2">
        <v>142</v>
      </c>
      <c r="U181" s="2" t="s">
        <v>103</v>
      </c>
      <c r="V181" s="2">
        <v>136.6</v>
      </c>
      <c r="W181" s="2">
        <v>134.69999999999999</v>
      </c>
      <c r="X181" s="2">
        <v>133.1</v>
      </c>
      <c r="Y181" s="2">
        <v>118.5</v>
      </c>
      <c r="Z181" s="2">
        <v>129</v>
      </c>
      <c r="AA181" s="2">
        <v>138.5</v>
      </c>
      <c r="AB181" s="2">
        <v>126.5</v>
      </c>
      <c r="AC181" s="2">
        <v>128.6</v>
      </c>
      <c r="AD181" s="2">
        <v>137.19999999999999</v>
      </c>
    </row>
    <row r="182" spans="1:30" x14ac:dyDescent="0.35">
      <c r="A182" s="2" t="s">
        <v>30</v>
      </c>
      <c r="B182" s="2">
        <v>2018</v>
      </c>
      <c r="C182" s="2" t="s">
        <v>31</v>
      </c>
      <c r="D182" s="2">
        <v>136.6</v>
      </c>
      <c r="E182" s="2">
        <v>144.4</v>
      </c>
      <c r="F182" s="2">
        <v>143.80000000000001</v>
      </c>
      <c r="G182" s="2">
        <v>142</v>
      </c>
      <c r="H182" s="2">
        <v>123.2</v>
      </c>
      <c r="I182" s="2">
        <v>147.9</v>
      </c>
      <c r="J182" s="2">
        <v>152.1</v>
      </c>
      <c r="K182" s="2">
        <v>131.80000000000001</v>
      </c>
      <c r="L182" s="2">
        <v>119.5</v>
      </c>
      <c r="M182" s="2">
        <v>136</v>
      </c>
      <c r="N182" s="2">
        <v>131.19999999999999</v>
      </c>
      <c r="O182" s="2">
        <v>151.80000000000001</v>
      </c>
      <c r="P182" s="2">
        <v>140.4</v>
      </c>
      <c r="Q182" s="2">
        <v>153.6</v>
      </c>
      <c r="R182" s="2">
        <v>148.30000000000001</v>
      </c>
      <c r="S182" s="2">
        <v>142.30000000000001</v>
      </c>
      <c r="T182" s="2">
        <v>147.5</v>
      </c>
      <c r="U182" s="2" t="s">
        <v>32</v>
      </c>
      <c r="V182" s="2">
        <v>142.30000000000001</v>
      </c>
      <c r="W182" s="2">
        <v>139.80000000000001</v>
      </c>
      <c r="X182" s="2">
        <v>136</v>
      </c>
      <c r="Y182" s="2">
        <v>122.7</v>
      </c>
      <c r="Z182" s="2">
        <v>134.30000000000001</v>
      </c>
      <c r="AA182" s="2">
        <v>141.6</v>
      </c>
      <c r="AB182" s="2">
        <v>128.6</v>
      </c>
      <c r="AC182" s="2">
        <v>132.30000000000001</v>
      </c>
      <c r="AD182" s="2">
        <v>139.30000000000001</v>
      </c>
    </row>
    <row r="183" spans="1:30" x14ac:dyDescent="0.35">
      <c r="A183" s="2" t="s">
        <v>33</v>
      </c>
      <c r="B183" s="2">
        <v>2018</v>
      </c>
      <c r="C183" s="2" t="s">
        <v>31</v>
      </c>
      <c r="D183" s="2">
        <v>134.6</v>
      </c>
      <c r="E183" s="2">
        <v>143.69999999999999</v>
      </c>
      <c r="F183" s="2">
        <v>143.6</v>
      </c>
      <c r="G183" s="2">
        <v>139.6</v>
      </c>
      <c r="H183" s="2">
        <v>116.4</v>
      </c>
      <c r="I183" s="2">
        <v>133.80000000000001</v>
      </c>
      <c r="J183" s="2">
        <v>150.5</v>
      </c>
      <c r="K183" s="2">
        <v>118.4</v>
      </c>
      <c r="L183" s="2">
        <v>117.3</v>
      </c>
      <c r="M183" s="2">
        <v>140.5</v>
      </c>
      <c r="N183" s="2">
        <v>125.9</v>
      </c>
      <c r="O183" s="2">
        <v>146.80000000000001</v>
      </c>
      <c r="P183" s="2">
        <v>137.19999999999999</v>
      </c>
      <c r="Q183" s="2">
        <v>157.69999999999999</v>
      </c>
      <c r="R183" s="2">
        <v>136</v>
      </c>
      <c r="S183" s="2">
        <v>125.9</v>
      </c>
      <c r="T183" s="2">
        <v>134.4</v>
      </c>
      <c r="U183" s="2" t="s">
        <v>104</v>
      </c>
      <c r="V183" s="2">
        <v>127.3</v>
      </c>
      <c r="W183" s="2">
        <v>129.5</v>
      </c>
      <c r="X183" s="2">
        <v>129</v>
      </c>
      <c r="Y183" s="2">
        <v>116.3</v>
      </c>
      <c r="Z183" s="2">
        <v>126.2</v>
      </c>
      <c r="AA183" s="2">
        <v>137.1</v>
      </c>
      <c r="AB183" s="2">
        <v>125.5</v>
      </c>
      <c r="AC183" s="2">
        <v>125.8</v>
      </c>
      <c r="AD183" s="2">
        <v>134.1</v>
      </c>
    </row>
    <row r="184" spans="1:30" x14ac:dyDescent="0.35">
      <c r="A184" s="2" t="s">
        <v>35</v>
      </c>
      <c r="B184" s="2">
        <v>2018</v>
      </c>
      <c r="C184" s="2" t="s">
        <v>31</v>
      </c>
      <c r="D184" s="2">
        <v>136</v>
      </c>
      <c r="E184" s="2">
        <v>144.19999999999999</v>
      </c>
      <c r="F184" s="2">
        <v>143.69999999999999</v>
      </c>
      <c r="G184" s="2">
        <v>141.1</v>
      </c>
      <c r="H184" s="2">
        <v>120.7</v>
      </c>
      <c r="I184" s="2">
        <v>141.30000000000001</v>
      </c>
      <c r="J184" s="2">
        <v>151.6</v>
      </c>
      <c r="K184" s="2">
        <v>127.3</v>
      </c>
      <c r="L184" s="2">
        <v>118.8</v>
      </c>
      <c r="M184" s="2">
        <v>137.5</v>
      </c>
      <c r="N184" s="2">
        <v>129</v>
      </c>
      <c r="O184" s="2">
        <v>149.5</v>
      </c>
      <c r="P184" s="2">
        <v>139.19999999999999</v>
      </c>
      <c r="Q184" s="2">
        <v>154.69999999999999</v>
      </c>
      <c r="R184" s="2">
        <v>143.5</v>
      </c>
      <c r="S184" s="2">
        <v>135.5</v>
      </c>
      <c r="T184" s="2">
        <v>142.30000000000001</v>
      </c>
      <c r="U184" s="2" t="s">
        <v>104</v>
      </c>
      <c r="V184" s="2">
        <v>136.6</v>
      </c>
      <c r="W184" s="2">
        <v>134.9</v>
      </c>
      <c r="X184" s="2">
        <v>133.30000000000001</v>
      </c>
      <c r="Y184" s="2">
        <v>119.3</v>
      </c>
      <c r="Z184" s="2">
        <v>129.69999999999999</v>
      </c>
      <c r="AA184" s="2">
        <v>139</v>
      </c>
      <c r="AB184" s="2">
        <v>127.3</v>
      </c>
      <c r="AC184" s="2">
        <v>129.1</v>
      </c>
      <c r="AD184" s="2">
        <v>136.9</v>
      </c>
    </row>
    <row r="185" spans="1:30" x14ac:dyDescent="0.35">
      <c r="A185" s="2" t="s">
        <v>30</v>
      </c>
      <c r="B185" s="2">
        <v>2018</v>
      </c>
      <c r="C185" s="2" t="s">
        <v>36</v>
      </c>
      <c r="D185" s="2">
        <v>136.4</v>
      </c>
      <c r="E185" s="2">
        <v>143.69999999999999</v>
      </c>
      <c r="F185" s="2">
        <v>140.6</v>
      </c>
      <c r="G185" s="2">
        <v>141.5</v>
      </c>
      <c r="H185" s="2">
        <v>122.9</v>
      </c>
      <c r="I185" s="2">
        <v>149.4</v>
      </c>
      <c r="J185" s="2">
        <v>142.4</v>
      </c>
      <c r="K185" s="2">
        <v>130.19999999999999</v>
      </c>
      <c r="L185" s="2">
        <v>117.9</v>
      </c>
      <c r="M185" s="2">
        <v>135.6</v>
      </c>
      <c r="N185" s="2">
        <v>130.5</v>
      </c>
      <c r="O185" s="2">
        <v>151.69999999999999</v>
      </c>
      <c r="P185" s="2">
        <v>138.69999999999999</v>
      </c>
      <c r="Q185" s="2">
        <v>153.30000000000001</v>
      </c>
      <c r="R185" s="2">
        <v>148.69999999999999</v>
      </c>
      <c r="S185" s="2">
        <v>142.4</v>
      </c>
      <c r="T185" s="2">
        <v>147.80000000000001</v>
      </c>
      <c r="U185" s="2" t="s">
        <v>32</v>
      </c>
      <c r="V185" s="2">
        <v>142.4</v>
      </c>
      <c r="W185" s="2">
        <v>139.9</v>
      </c>
      <c r="X185" s="2">
        <v>136.19999999999999</v>
      </c>
      <c r="Y185" s="2">
        <v>123.3</v>
      </c>
      <c r="Z185" s="2">
        <v>134.30000000000001</v>
      </c>
      <c r="AA185" s="2">
        <v>141.5</v>
      </c>
      <c r="AB185" s="2">
        <v>128.80000000000001</v>
      </c>
      <c r="AC185" s="2">
        <v>132.5</v>
      </c>
      <c r="AD185" s="2">
        <v>138.5</v>
      </c>
    </row>
    <row r="186" spans="1:30" x14ac:dyDescent="0.35">
      <c r="A186" s="2" t="s">
        <v>33</v>
      </c>
      <c r="B186" s="2">
        <v>2018</v>
      </c>
      <c r="C186" s="2" t="s">
        <v>36</v>
      </c>
      <c r="D186" s="2">
        <v>134.80000000000001</v>
      </c>
      <c r="E186" s="2">
        <v>143</v>
      </c>
      <c r="F186" s="2">
        <v>139.9</v>
      </c>
      <c r="G186" s="2">
        <v>139.9</v>
      </c>
      <c r="H186" s="2">
        <v>116.2</v>
      </c>
      <c r="I186" s="2">
        <v>135.5</v>
      </c>
      <c r="J186" s="2">
        <v>136.9</v>
      </c>
      <c r="K186" s="2">
        <v>117</v>
      </c>
      <c r="L186" s="2">
        <v>115.4</v>
      </c>
      <c r="M186" s="2">
        <v>140.69999999999999</v>
      </c>
      <c r="N186" s="2">
        <v>125.9</v>
      </c>
      <c r="O186" s="2">
        <v>147.1</v>
      </c>
      <c r="P186" s="2">
        <v>135.6</v>
      </c>
      <c r="Q186" s="2">
        <v>159.30000000000001</v>
      </c>
      <c r="R186" s="2">
        <v>136.30000000000001</v>
      </c>
      <c r="S186" s="2">
        <v>126.1</v>
      </c>
      <c r="T186" s="2">
        <v>134.69999999999999</v>
      </c>
      <c r="U186" s="2" t="s">
        <v>105</v>
      </c>
      <c r="V186" s="2">
        <v>127.3</v>
      </c>
      <c r="W186" s="2">
        <v>129.9</v>
      </c>
      <c r="X186" s="2">
        <v>129.80000000000001</v>
      </c>
      <c r="Y186" s="2">
        <v>117.4</v>
      </c>
      <c r="Z186" s="2">
        <v>126.5</v>
      </c>
      <c r="AA186" s="2">
        <v>137.19999999999999</v>
      </c>
      <c r="AB186" s="2">
        <v>126.2</v>
      </c>
      <c r="AC186" s="2">
        <v>126.5</v>
      </c>
      <c r="AD186" s="2">
        <v>134</v>
      </c>
    </row>
    <row r="187" spans="1:30" x14ac:dyDescent="0.35">
      <c r="A187" s="2" t="s">
        <v>35</v>
      </c>
      <c r="B187" s="2">
        <v>2018</v>
      </c>
      <c r="C187" s="2" t="s">
        <v>36</v>
      </c>
      <c r="D187" s="2">
        <v>135.9</v>
      </c>
      <c r="E187" s="2">
        <v>143.5</v>
      </c>
      <c r="F187" s="2">
        <v>140.30000000000001</v>
      </c>
      <c r="G187" s="2">
        <v>140.9</v>
      </c>
      <c r="H187" s="2">
        <v>120.4</v>
      </c>
      <c r="I187" s="2">
        <v>142.9</v>
      </c>
      <c r="J187" s="2">
        <v>140.5</v>
      </c>
      <c r="K187" s="2">
        <v>125.8</v>
      </c>
      <c r="L187" s="2">
        <v>117.1</v>
      </c>
      <c r="M187" s="2">
        <v>137.30000000000001</v>
      </c>
      <c r="N187" s="2">
        <v>128.6</v>
      </c>
      <c r="O187" s="2">
        <v>149.6</v>
      </c>
      <c r="P187" s="2">
        <v>137.6</v>
      </c>
      <c r="Q187" s="2">
        <v>154.9</v>
      </c>
      <c r="R187" s="2">
        <v>143.80000000000001</v>
      </c>
      <c r="S187" s="2">
        <v>135.6</v>
      </c>
      <c r="T187" s="2">
        <v>142.6</v>
      </c>
      <c r="U187" s="2" t="s">
        <v>105</v>
      </c>
      <c r="V187" s="2">
        <v>136.69999999999999</v>
      </c>
      <c r="W187" s="2">
        <v>135.19999999999999</v>
      </c>
      <c r="X187" s="2">
        <v>133.80000000000001</v>
      </c>
      <c r="Y187" s="2">
        <v>120.2</v>
      </c>
      <c r="Z187" s="2">
        <v>129.9</v>
      </c>
      <c r="AA187" s="2">
        <v>139</v>
      </c>
      <c r="AB187" s="2">
        <v>127.7</v>
      </c>
      <c r="AC187" s="2">
        <v>129.6</v>
      </c>
      <c r="AD187" s="2">
        <v>136.4</v>
      </c>
    </row>
    <row r="188" spans="1:30" x14ac:dyDescent="0.35">
      <c r="A188" s="2" t="s">
        <v>30</v>
      </c>
      <c r="B188" s="2">
        <v>2018</v>
      </c>
      <c r="C188" s="2" t="s">
        <v>38</v>
      </c>
      <c r="D188" s="2">
        <v>136.80000000000001</v>
      </c>
      <c r="E188" s="2">
        <v>143.80000000000001</v>
      </c>
      <c r="F188" s="2">
        <v>140</v>
      </c>
      <c r="G188" s="2">
        <v>142</v>
      </c>
      <c r="H188" s="2">
        <v>123.2</v>
      </c>
      <c r="I188" s="2">
        <v>152.9</v>
      </c>
      <c r="J188" s="2">
        <v>138</v>
      </c>
      <c r="K188" s="2">
        <v>129.30000000000001</v>
      </c>
      <c r="L188" s="2">
        <v>117.1</v>
      </c>
      <c r="M188" s="2">
        <v>136.30000000000001</v>
      </c>
      <c r="N188" s="2">
        <v>131.19999999999999</v>
      </c>
      <c r="O188" s="2">
        <v>152.80000000000001</v>
      </c>
      <c r="P188" s="2">
        <v>138.6</v>
      </c>
      <c r="Q188" s="2">
        <v>155.1</v>
      </c>
      <c r="R188" s="2">
        <v>149.19999999999999</v>
      </c>
      <c r="S188" s="2">
        <v>143</v>
      </c>
      <c r="T188" s="2">
        <v>148.30000000000001</v>
      </c>
      <c r="U188" s="2" t="s">
        <v>32</v>
      </c>
      <c r="V188" s="2">
        <v>142.6</v>
      </c>
      <c r="W188" s="2">
        <v>139.9</v>
      </c>
      <c r="X188" s="2">
        <v>136.69999999999999</v>
      </c>
      <c r="Y188" s="2">
        <v>124.6</v>
      </c>
      <c r="Z188" s="2">
        <v>135.1</v>
      </c>
      <c r="AA188" s="2">
        <v>142.69999999999999</v>
      </c>
      <c r="AB188" s="2">
        <v>129.30000000000001</v>
      </c>
      <c r="AC188" s="2">
        <v>133.30000000000001</v>
      </c>
      <c r="AD188" s="2">
        <v>138.69999999999999</v>
      </c>
    </row>
    <row r="189" spans="1:30" x14ac:dyDescent="0.35">
      <c r="A189" s="2" t="s">
        <v>33</v>
      </c>
      <c r="B189" s="2">
        <v>2018</v>
      </c>
      <c r="C189" s="2" t="s">
        <v>38</v>
      </c>
      <c r="D189" s="2">
        <v>135</v>
      </c>
      <c r="E189" s="2">
        <v>143.1</v>
      </c>
      <c r="F189" s="2">
        <v>135.5</v>
      </c>
      <c r="G189" s="2">
        <v>139.9</v>
      </c>
      <c r="H189" s="2">
        <v>116.5</v>
      </c>
      <c r="I189" s="2">
        <v>138.5</v>
      </c>
      <c r="J189" s="2">
        <v>128</v>
      </c>
      <c r="K189" s="2">
        <v>115.5</v>
      </c>
      <c r="L189" s="2">
        <v>114.2</v>
      </c>
      <c r="M189" s="2">
        <v>140.69999999999999</v>
      </c>
      <c r="N189" s="2">
        <v>126.2</v>
      </c>
      <c r="O189" s="2">
        <v>147.6</v>
      </c>
      <c r="P189" s="2">
        <v>134.80000000000001</v>
      </c>
      <c r="Q189" s="2">
        <v>159.69999999999999</v>
      </c>
      <c r="R189" s="2">
        <v>136.69999999999999</v>
      </c>
      <c r="S189" s="2">
        <v>126.7</v>
      </c>
      <c r="T189" s="2">
        <v>135.19999999999999</v>
      </c>
      <c r="U189" s="2" t="s">
        <v>106</v>
      </c>
      <c r="V189" s="2">
        <v>126.4</v>
      </c>
      <c r="W189" s="2">
        <v>130.80000000000001</v>
      </c>
      <c r="X189" s="2">
        <v>130.5</v>
      </c>
      <c r="Y189" s="2">
        <v>117.8</v>
      </c>
      <c r="Z189" s="2">
        <v>126.8</v>
      </c>
      <c r="AA189" s="2">
        <v>137.80000000000001</v>
      </c>
      <c r="AB189" s="2">
        <v>126.7</v>
      </c>
      <c r="AC189" s="2">
        <v>127.1</v>
      </c>
      <c r="AD189" s="2">
        <v>134</v>
      </c>
    </row>
    <row r="190" spans="1:30" x14ac:dyDescent="0.35">
      <c r="A190" s="2" t="s">
        <v>35</v>
      </c>
      <c r="B190" s="2">
        <v>2018</v>
      </c>
      <c r="C190" s="2" t="s">
        <v>38</v>
      </c>
      <c r="D190" s="2">
        <v>136.19999999999999</v>
      </c>
      <c r="E190" s="2">
        <v>143.6</v>
      </c>
      <c r="F190" s="2">
        <v>138.30000000000001</v>
      </c>
      <c r="G190" s="2">
        <v>141.19999999999999</v>
      </c>
      <c r="H190" s="2">
        <v>120.7</v>
      </c>
      <c r="I190" s="2">
        <v>146.19999999999999</v>
      </c>
      <c r="J190" s="2">
        <v>134.6</v>
      </c>
      <c r="K190" s="2">
        <v>124.6</v>
      </c>
      <c r="L190" s="2">
        <v>116.1</v>
      </c>
      <c r="M190" s="2">
        <v>137.80000000000001</v>
      </c>
      <c r="N190" s="2">
        <v>129.1</v>
      </c>
      <c r="O190" s="2">
        <v>150.4</v>
      </c>
      <c r="P190" s="2">
        <v>137.19999999999999</v>
      </c>
      <c r="Q190" s="2">
        <v>156.30000000000001</v>
      </c>
      <c r="R190" s="2">
        <v>144.30000000000001</v>
      </c>
      <c r="S190" s="2">
        <v>136.19999999999999</v>
      </c>
      <c r="T190" s="2">
        <v>143.1</v>
      </c>
      <c r="U190" s="2" t="s">
        <v>106</v>
      </c>
      <c r="V190" s="2">
        <v>136.5</v>
      </c>
      <c r="W190" s="2">
        <v>135.6</v>
      </c>
      <c r="X190" s="2">
        <v>134.30000000000001</v>
      </c>
      <c r="Y190" s="2">
        <v>121</v>
      </c>
      <c r="Z190" s="2">
        <v>130.4</v>
      </c>
      <c r="AA190" s="2">
        <v>139.80000000000001</v>
      </c>
      <c r="AB190" s="2">
        <v>128.19999999999999</v>
      </c>
      <c r="AC190" s="2">
        <v>130.30000000000001</v>
      </c>
      <c r="AD190" s="2">
        <v>136.5</v>
      </c>
    </row>
    <row r="191" spans="1:30" x14ac:dyDescent="0.35">
      <c r="A191" s="2" t="s">
        <v>30</v>
      </c>
      <c r="B191" s="2">
        <v>2018</v>
      </c>
      <c r="C191" s="2" t="s">
        <v>39</v>
      </c>
      <c r="D191" s="2">
        <v>137.1</v>
      </c>
      <c r="E191" s="2">
        <v>144.5</v>
      </c>
      <c r="F191" s="2">
        <v>135.9</v>
      </c>
      <c r="G191" s="2">
        <v>142.4</v>
      </c>
      <c r="H191" s="2">
        <v>123.5</v>
      </c>
      <c r="I191" s="2">
        <v>156.4</v>
      </c>
      <c r="J191" s="2">
        <v>135.1</v>
      </c>
      <c r="K191" s="2">
        <v>128.4</v>
      </c>
      <c r="L191" s="2">
        <v>115.2</v>
      </c>
      <c r="M191" s="2">
        <v>137.19999999999999</v>
      </c>
      <c r="N191" s="2">
        <v>131.9</v>
      </c>
      <c r="O191" s="2">
        <v>153.80000000000001</v>
      </c>
      <c r="P191" s="2">
        <v>138.6</v>
      </c>
      <c r="Q191" s="2">
        <v>156.1</v>
      </c>
      <c r="R191" s="2">
        <v>150.1</v>
      </c>
      <c r="S191" s="2">
        <v>143.30000000000001</v>
      </c>
      <c r="T191" s="2">
        <v>149.1</v>
      </c>
      <c r="U191" s="2" t="s">
        <v>32</v>
      </c>
      <c r="V191" s="2">
        <v>143.80000000000001</v>
      </c>
      <c r="W191" s="2">
        <v>140.9</v>
      </c>
      <c r="X191" s="2">
        <v>137.6</v>
      </c>
      <c r="Y191" s="2">
        <v>125.3</v>
      </c>
      <c r="Z191" s="2">
        <v>136</v>
      </c>
      <c r="AA191" s="2">
        <v>143.69999999999999</v>
      </c>
      <c r="AB191" s="2">
        <v>130.4</v>
      </c>
      <c r="AC191" s="2">
        <v>134.19999999999999</v>
      </c>
      <c r="AD191" s="2">
        <v>139.1</v>
      </c>
    </row>
    <row r="192" spans="1:30" x14ac:dyDescent="0.35">
      <c r="A192" s="2" t="s">
        <v>33</v>
      </c>
      <c r="B192" s="2">
        <v>2018</v>
      </c>
      <c r="C192" s="2" t="s">
        <v>39</v>
      </c>
      <c r="D192" s="2">
        <v>135</v>
      </c>
      <c r="E192" s="2">
        <v>144.30000000000001</v>
      </c>
      <c r="F192" s="2">
        <v>130.80000000000001</v>
      </c>
      <c r="G192" s="2">
        <v>140.30000000000001</v>
      </c>
      <c r="H192" s="2">
        <v>116.6</v>
      </c>
      <c r="I192" s="2">
        <v>150.1</v>
      </c>
      <c r="J192" s="2">
        <v>127.6</v>
      </c>
      <c r="K192" s="2">
        <v>114</v>
      </c>
      <c r="L192" s="2">
        <v>110.6</v>
      </c>
      <c r="M192" s="2">
        <v>140.19999999999999</v>
      </c>
      <c r="N192" s="2">
        <v>126.5</v>
      </c>
      <c r="O192" s="2">
        <v>148.30000000000001</v>
      </c>
      <c r="P192" s="2">
        <v>135.69999999999999</v>
      </c>
      <c r="Q192" s="2">
        <v>159.19999999999999</v>
      </c>
      <c r="R192" s="2">
        <v>137.80000000000001</v>
      </c>
      <c r="S192" s="2">
        <v>127.4</v>
      </c>
      <c r="T192" s="2">
        <v>136.19999999999999</v>
      </c>
      <c r="U192" s="2" t="s">
        <v>107</v>
      </c>
      <c r="V192" s="2">
        <v>124.6</v>
      </c>
      <c r="W192" s="2">
        <v>131.80000000000001</v>
      </c>
      <c r="X192" s="2">
        <v>131.30000000000001</v>
      </c>
      <c r="Y192" s="2">
        <v>118.9</v>
      </c>
      <c r="Z192" s="2">
        <v>127.6</v>
      </c>
      <c r="AA192" s="2">
        <v>139.69999999999999</v>
      </c>
      <c r="AB192" s="2">
        <v>127.6</v>
      </c>
      <c r="AC192" s="2">
        <v>128.19999999999999</v>
      </c>
      <c r="AD192" s="2">
        <v>134.80000000000001</v>
      </c>
    </row>
    <row r="193" spans="1:30" x14ac:dyDescent="0.35">
      <c r="A193" s="2" t="s">
        <v>35</v>
      </c>
      <c r="B193" s="2">
        <v>2018</v>
      </c>
      <c r="C193" s="2" t="s">
        <v>39</v>
      </c>
      <c r="D193" s="2">
        <v>136.4</v>
      </c>
      <c r="E193" s="2">
        <v>144.4</v>
      </c>
      <c r="F193" s="2">
        <v>133.9</v>
      </c>
      <c r="G193" s="2">
        <v>141.6</v>
      </c>
      <c r="H193" s="2">
        <v>121</v>
      </c>
      <c r="I193" s="2">
        <v>153.5</v>
      </c>
      <c r="J193" s="2">
        <v>132.6</v>
      </c>
      <c r="K193" s="2">
        <v>123.5</v>
      </c>
      <c r="L193" s="2">
        <v>113.7</v>
      </c>
      <c r="M193" s="2">
        <v>138.19999999999999</v>
      </c>
      <c r="N193" s="2">
        <v>129.6</v>
      </c>
      <c r="O193" s="2">
        <v>151.19999999999999</v>
      </c>
      <c r="P193" s="2">
        <v>137.5</v>
      </c>
      <c r="Q193" s="2">
        <v>156.9</v>
      </c>
      <c r="R193" s="2">
        <v>145.30000000000001</v>
      </c>
      <c r="S193" s="2">
        <v>136.69999999999999</v>
      </c>
      <c r="T193" s="2">
        <v>144</v>
      </c>
      <c r="U193" s="2" t="s">
        <v>107</v>
      </c>
      <c r="V193" s="2">
        <v>136.5</v>
      </c>
      <c r="W193" s="2">
        <v>136.6</v>
      </c>
      <c r="X193" s="2">
        <v>135.19999999999999</v>
      </c>
      <c r="Y193" s="2">
        <v>121.9</v>
      </c>
      <c r="Z193" s="2">
        <v>131.30000000000001</v>
      </c>
      <c r="AA193" s="2">
        <v>141.4</v>
      </c>
      <c r="AB193" s="2">
        <v>129.19999999999999</v>
      </c>
      <c r="AC193" s="2">
        <v>131.30000000000001</v>
      </c>
      <c r="AD193" s="2">
        <v>137.1</v>
      </c>
    </row>
    <row r="194" spans="1:30" x14ac:dyDescent="0.35">
      <c r="A194" s="2" t="s">
        <v>30</v>
      </c>
      <c r="B194" s="2">
        <v>2018</v>
      </c>
      <c r="C194" s="2" t="s">
        <v>41</v>
      </c>
      <c r="D194" s="2">
        <v>137.4</v>
      </c>
      <c r="E194" s="2">
        <v>145.69999999999999</v>
      </c>
      <c r="F194" s="2">
        <v>135.5</v>
      </c>
      <c r="G194" s="2">
        <v>142.9</v>
      </c>
      <c r="H194" s="2">
        <v>123.6</v>
      </c>
      <c r="I194" s="2">
        <v>157.5</v>
      </c>
      <c r="J194" s="2">
        <v>137.80000000000001</v>
      </c>
      <c r="K194" s="2">
        <v>127.2</v>
      </c>
      <c r="L194" s="2">
        <v>111.8</v>
      </c>
      <c r="M194" s="2">
        <v>137.4</v>
      </c>
      <c r="N194" s="2">
        <v>132.19999999999999</v>
      </c>
      <c r="O194" s="2">
        <v>154.30000000000001</v>
      </c>
      <c r="P194" s="2">
        <v>139.1</v>
      </c>
      <c r="Q194" s="2">
        <v>157</v>
      </c>
      <c r="R194" s="2">
        <v>150.80000000000001</v>
      </c>
      <c r="S194" s="2">
        <v>144.1</v>
      </c>
      <c r="T194" s="2">
        <v>149.80000000000001</v>
      </c>
      <c r="U194" s="2" t="s">
        <v>32</v>
      </c>
      <c r="V194" s="2">
        <v>144.30000000000001</v>
      </c>
      <c r="W194" s="2">
        <v>141.80000000000001</v>
      </c>
      <c r="X194" s="2">
        <v>138.4</v>
      </c>
      <c r="Y194" s="2">
        <v>126.4</v>
      </c>
      <c r="Z194" s="2">
        <v>136.80000000000001</v>
      </c>
      <c r="AA194" s="2">
        <v>144.4</v>
      </c>
      <c r="AB194" s="2">
        <v>131.19999999999999</v>
      </c>
      <c r="AC194" s="2">
        <v>135.1</v>
      </c>
      <c r="AD194" s="2">
        <v>139.80000000000001</v>
      </c>
    </row>
    <row r="195" spans="1:30" x14ac:dyDescent="0.35">
      <c r="A195" s="2" t="s">
        <v>33</v>
      </c>
      <c r="B195" s="2">
        <v>2018</v>
      </c>
      <c r="C195" s="2" t="s">
        <v>41</v>
      </c>
      <c r="D195" s="2">
        <v>135</v>
      </c>
      <c r="E195" s="2">
        <v>148.19999999999999</v>
      </c>
      <c r="F195" s="2">
        <v>130.5</v>
      </c>
      <c r="G195" s="2">
        <v>140.69999999999999</v>
      </c>
      <c r="H195" s="2">
        <v>116.4</v>
      </c>
      <c r="I195" s="2">
        <v>151.30000000000001</v>
      </c>
      <c r="J195" s="2">
        <v>131.4</v>
      </c>
      <c r="K195" s="2">
        <v>112.8</v>
      </c>
      <c r="L195" s="2">
        <v>105.3</v>
      </c>
      <c r="M195" s="2">
        <v>139.6</v>
      </c>
      <c r="N195" s="2">
        <v>126.6</v>
      </c>
      <c r="O195" s="2">
        <v>148.69999999999999</v>
      </c>
      <c r="P195" s="2">
        <v>136.4</v>
      </c>
      <c r="Q195" s="2">
        <v>160.30000000000001</v>
      </c>
      <c r="R195" s="2">
        <v>138.6</v>
      </c>
      <c r="S195" s="2">
        <v>127.9</v>
      </c>
      <c r="T195" s="2">
        <v>137</v>
      </c>
      <c r="U195" s="2" t="s">
        <v>108</v>
      </c>
      <c r="V195" s="2">
        <v>124.7</v>
      </c>
      <c r="W195" s="2">
        <v>132.5</v>
      </c>
      <c r="X195" s="2">
        <v>132</v>
      </c>
      <c r="Y195" s="2">
        <v>119.8</v>
      </c>
      <c r="Z195" s="2">
        <v>128</v>
      </c>
      <c r="AA195" s="2">
        <v>140.4</v>
      </c>
      <c r="AB195" s="2">
        <v>128.1</v>
      </c>
      <c r="AC195" s="2">
        <v>128.9</v>
      </c>
      <c r="AD195" s="2">
        <v>135.4</v>
      </c>
    </row>
    <row r="196" spans="1:30" x14ac:dyDescent="0.35">
      <c r="A196" s="2" t="s">
        <v>35</v>
      </c>
      <c r="B196" s="2">
        <v>2018</v>
      </c>
      <c r="C196" s="2" t="s">
        <v>41</v>
      </c>
      <c r="D196" s="2">
        <v>136.6</v>
      </c>
      <c r="E196" s="2">
        <v>146.6</v>
      </c>
      <c r="F196" s="2">
        <v>133.6</v>
      </c>
      <c r="G196" s="2">
        <v>142.1</v>
      </c>
      <c r="H196" s="2">
        <v>121</v>
      </c>
      <c r="I196" s="2">
        <v>154.6</v>
      </c>
      <c r="J196" s="2">
        <v>135.6</v>
      </c>
      <c r="K196" s="2">
        <v>122.3</v>
      </c>
      <c r="L196" s="2">
        <v>109.6</v>
      </c>
      <c r="M196" s="2">
        <v>138.1</v>
      </c>
      <c r="N196" s="2">
        <v>129.9</v>
      </c>
      <c r="O196" s="2">
        <v>151.69999999999999</v>
      </c>
      <c r="P196" s="2">
        <v>138.1</v>
      </c>
      <c r="Q196" s="2">
        <v>157.9</v>
      </c>
      <c r="R196" s="2">
        <v>146</v>
      </c>
      <c r="S196" s="2">
        <v>137.4</v>
      </c>
      <c r="T196" s="2">
        <v>144.69999999999999</v>
      </c>
      <c r="U196" s="2" t="s">
        <v>108</v>
      </c>
      <c r="V196" s="2">
        <v>136.9</v>
      </c>
      <c r="W196" s="2">
        <v>137.4</v>
      </c>
      <c r="X196" s="2">
        <v>136</v>
      </c>
      <c r="Y196" s="2">
        <v>122.9</v>
      </c>
      <c r="Z196" s="2">
        <v>131.80000000000001</v>
      </c>
      <c r="AA196" s="2">
        <v>142.1</v>
      </c>
      <c r="AB196" s="2">
        <v>129.9</v>
      </c>
      <c r="AC196" s="2">
        <v>132.1</v>
      </c>
      <c r="AD196" s="2">
        <v>137.80000000000001</v>
      </c>
    </row>
    <row r="197" spans="1:30" x14ac:dyDescent="0.35">
      <c r="A197" s="2" t="s">
        <v>30</v>
      </c>
      <c r="B197" s="2">
        <v>2018</v>
      </c>
      <c r="C197" s="2" t="s">
        <v>42</v>
      </c>
      <c r="D197" s="2">
        <v>137.6</v>
      </c>
      <c r="E197" s="2">
        <v>148.1</v>
      </c>
      <c r="F197" s="2">
        <v>136.69999999999999</v>
      </c>
      <c r="G197" s="2">
        <v>143.19999999999999</v>
      </c>
      <c r="H197" s="2">
        <v>124</v>
      </c>
      <c r="I197" s="2">
        <v>154.1</v>
      </c>
      <c r="J197" s="2">
        <v>143.5</v>
      </c>
      <c r="K197" s="2">
        <v>126</v>
      </c>
      <c r="L197" s="2">
        <v>112.4</v>
      </c>
      <c r="M197" s="2">
        <v>137.6</v>
      </c>
      <c r="N197" s="2">
        <v>132.80000000000001</v>
      </c>
      <c r="O197" s="2">
        <v>154.30000000000001</v>
      </c>
      <c r="P197" s="2">
        <v>140</v>
      </c>
      <c r="Q197" s="2">
        <v>157.30000000000001</v>
      </c>
      <c r="R197" s="2">
        <v>151.30000000000001</v>
      </c>
      <c r="S197" s="2">
        <v>144.69999999999999</v>
      </c>
      <c r="T197" s="2">
        <v>150.30000000000001</v>
      </c>
      <c r="U197" s="2" t="s">
        <v>32</v>
      </c>
      <c r="V197" s="2">
        <v>145.1</v>
      </c>
      <c r="W197" s="2">
        <v>142.19999999999999</v>
      </c>
      <c r="X197" s="2">
        <v>138.4</v>
      </c>
      <c r="Y197" s="2">
        <v>127.4</v>
      </c>
      <c r="Z197" s="2">
        <v>137.80000000000001</v>
      </c>
      <c r="AA197" s="2">
        <v>145.1</v>
      </c>
      <c r="AB197" s="2">
        <v>131.4</v>
      </c>
      <c r="AC197" s="2">
        <v>135.6</v>
      </c>
      <c r="AD197" s="2">
        <v>140.5</v>
      </c>
    </row>
    <row r="198" spans="1:30" x14ac:dyDescent="0.35">
      <c r="A198" s="2" t="s">
        <v>33</v>
      </c>
      <c r="B198" s="2">
        <v>2018</v>
      </c>
      <c r="C198" s="2" t="s">
        <v>42</v>
      </c>
      <c r="D198" s="2">
        <v>135.30000000000001</v>
      </c>
      <c r="E198" s="2">
        <v>149.69999999999999</v>
      </c>
      <c r="F198" s="2">
        <v>133.9</v>
      </c>
      <c r="G198" s="2">
        <v>140.80000000000001</v>
      </c>
      <c r="H198" s="2">
        <v>116.6</v>
      </c>
      <c r="I198" s="2">
        <v>152.19999999999999</v>
      </c>
      <c r="J198" s="2">
        <v>144</v>
      </c>
      <c r="K198" s="2">
        <v>112.3</v>
      </c>
      <c r="L198" s="2">
        <v>108.4</v>
      </c>
      <c r="M198" s="2">
        <v>140</v>
      </c>
      <c r="N198" s="2">
        <v>126.7</v>
      </c>
      <c r="O198" s="2">
        <v>149</v>
      </c>
      <c r="P198" s="2">
        <v>138.4</v>
      </c>
      <c r="Q198" s="2">
        <v>161</v>
      </c>
      <c r="R198" s="2">
        <v>138.9</v>
      </c>
      <c r="S198" s="2">
        <v>128.69999999999999</v>
      </c>
      <c r="T198" s="2">
        <v>137.4</v>
      </c>
      <c r="U198" s="2" t="s">
        <v>109</v>
      </c>
      <c r="V198" s="2">
        <v>126.5</v>
      </c>
      <c r="W198" s="2">
        <v>133.1</v>
      </c>
      <c r="X198" s="2">
        <v>132.6</v>
      </c>
      <c r="Y198" s="2">
        <v>120.4</v>
      </c>
      <c r="Z198" s="2">
        <v>128.5</v>
      </c>
      <c r="AA198" s="2">
        <v>141.19999999999999</v>
      </c>
      <c r="AB198" s="2">
        <v>128.19999999999999</v>
      </c>
      <c r="AC198" s="2">
        <v>129.5</v>
      </c>
      <c r="AD198" s="2">
        <v>136.19999999999999</v>
      </c>
    </row>
    <row r="199" spans="1:30" x14ac:dyDescent="0.35">
      <c r="A199" s="2" t="s">
        <v>35</v>
      </c>
      <c r="B199" s="2">
        <v>2018</v>
      </c>
      <c r="C199" s="2" t="s">
        <v>42</v>
      </c>
      <c r="D199" s="2">
        <v>136.9</v>
      </c>
      <c r="E199" s="2">
        <v>148.69999999999999</v>
      </c>
      <c r="F199" s="2">
        <v>135.6</v>
      </c>
      <c r="G199" s="2">
        <v>142.30000000000001</v>
      </c>
      <c r="H199" s="2">
        <v>121.3</v>
      </c>
      <c r="I199" s="2">
        <v>153.19999999999999</v>
      </c>
      <c r="J199" s="2">
        <v>143.69999999999999</v>
      </c>
      <c r="K199" s="2">
        <v>121.4</v>
      </c>
      <c r="L199" s="2">
        <v>111.1</v>
      </c>
      <c r="M199" s="2">
        <v>138.4</v>
      </c>
      <c r="N199" s="2">
        <v>130.30000000000001</v>
      </c>
      <c r="O199" s="2">
        <v>151.80000000000001</v>
      </c>
      <c r="P199" s="2">
        <v>139.4</v>
      </c>
      <c r="Q199" s="2">
        <v>158.30000000000001</v>
      </c>
      <c r="R199" s="2">
        <v>146.4</v>
      </c>
      <c r="S199" s="2">
        <v>138.1</v>
      </c>
      <c r="T199" s="2">
        <v>145.19999999999999</v>
      </c>
      <c r="U199" s="2" t="s">
        <v>109</v>
      </c>
      <c r="V199" s="2">
        <v>138.1</v>
      </c>
      <c r="W199" s="2">
        <v>137.9</v>
      </c>
      <c r="X199" s="2">
        <v>136.19999999999999</v>
      </c>
      <c r="Y199" s="2">
        <v>123.7</v>
      </c>
      <c r="Z199" s="2">
        <v>132.6</v>
      </c>
      <c r="AA199" s="2">
        <v>142.80000000000001</v>
      </c>
      <c r="AB199" s="2">
        <v>130.1</v>
      </c>
      <c r="AC199" s="2">
        <v>132.6</v>
      </c>
      <c r="AD199" s="2">
        <v>138.5</v>
      </c>
    </row>
    <row r="200" spans="1:30" x14ac:dyDescent="0.35">
      <c r="A200" s="2" t="s">
        <v>30</v>
      </c>
      <c r="B200" s="2">
        <v>2018</v>
      </c>
      <c r="C200" s="2" t="s">
        <v>44</v>
      </c>
      <c r="D200" s="2">
        <v>138.4</v>
      </c>
      <c r="E200" s="2">
        <v>149.30000000000001</v>
      </c>
      <c r="F200" s="2">
        <v>139.30000000000001</v>
      </c>
      <c r="G200" s="2">
        <v>143.4</v>
      </c>
      <c r="H200" s="2">
        <v>124.1</v>
      </c>
      <c r="I200" s="2">
        <v>153.30000000000001</v>
      </c>
      <c r="J200" s="2">
        <v>154.19999999999999</v>
      </c>
      <c r="K200" s="2">
        <v>126.4</v>
      </c>
      <c r="L200" s="2">
        <v>114.3</v>
      </c>
      <c r="M200" s="2">
        <v>138.19999999999999</v>
      </c>
      <c r="N200" s="2">
        <v>132.80000000000001</v>
      </c>
      <c r="O200" s="2">
        <v>154.80000000000001</v>
      </c>
      <c r="P200" s="2">
        <v>142</v>
      </c>
      <c r="Q200" s="2">
        <v>156.1</v>
      </c>
      <c r="R200" s="2">
        <v>151.5</v>
      </c>
      <c r="S200" s="2">
        <v>145.1</v>
      </c>
      <c r="T200" s="2">
        <v>150.6</v>
      </c>
      <c r="U200" s="2" t="s">
        <v>32</v>
      </c>
      <c r="V200" s="2">
        <v>146.80000000000001</v>
      </c>
      <c r="W200" s="2">
        <v>143.1</v>
      </c>
      <c r="X200" s="2">
        <v>139</v>
      </c>
      <c r="Y200" s="2">
        <v>127.5</v>
      </c>
      <c r="Z200" s="2">
        <v>138.4</v>
      </c>
      <c r="AA200" s="2">
        <v>145.80000000000001</v>
      </c>
      <c r="AB200" s="2">
        <v>131.4</v>
      </c>
      <c r="AC200" s="2">
        <v>136</v>
      </c>
      <c r="AD200" s="2">
        <v>141.80000000000001</v>
      </c>
    </row>
    <row r="201" spans="1:30" x14ac:dyDescent="0.35">
      <c r="A201" s="2" t="s">
        <v>33</v>
      </c>
      <c r="B201" s="2">
        <v>2018</v>
      </c>
      <c r="C201" s="2" t="s">
        <v>44</v>
      </c>
      <c r="D201" s="2">
        <v>135.6</v>
      </c>
      <c r="E201" s="2">
        <v>148.6</v>
      </c>
      <c r="F201" s="2">
        <v>139.1</v>
      </c>
      <c r="G201" s="2">
        <v>141</v>
      </c>
      <c r="H201" s="2">
        <v>116.7</v>
      </c>
      <c r="I201" s="2">
        <v>149.69999999999999</v>
      </c>
      <c r="J201" s="2">
        <v>159.19999999999999</v>
      </c>
      <c r="K201" s="2">
        <v>112.6</v>
      </c>
      <c r="L201" s="2">
        <v>111.8</v>
      </c>
      <c r="M201" s="2">
        <v>140.30000000000001</v>
      </c>
      <c r="N201" s="2">
        <v>126.8</v>
      </c>
      <c r="O201" s="2">
        <v>149.4</v>
      </c>
      <c r="P201" s="2">
        <v>140.30000000000001</v>
      </c>
      <c r="Q201" s="2">
        <v>161.4</v>
      </c>
      <c r="R201" s="2">
        <v>139.6</v>
      </c>
      <c r="S201" s="2">
        <v>128.9</v>
      </c>
      <c r="T201" s="2">
        <v>137.9</v>
      </c>
      <c r="U201" s="2" t="s">
        <v>110</v>
      </c>
      <c r="V201" s="2">
        <v>128.1</v>
      </c>
      <c r="W201" s="2">
        <v>133.6</v>
      </c>
      <c r="X201" s="2">
        <v>133.6</v>
      </c>
      <c r="Y201" s="2">
        <v>120.1</v>
      </c>
      <c r="Z201" s="2">
        <v>129</v>
      </c>
      <c r="AA201" s="2">
        <v>144</v>
      </c>
      <c r="AB201" s="2">
        <v>128.19999999999999</v>
      </c>
      <c r="AC201" s="2">
        <v>130.19999999999999</v>
      </c>
      <c r="AD201" s="2">
        <v>137.5</v>
      </c>
    </row>
    <row r="202" spans="1:30" x14ac:dyDescent="0.35">
      <c r="A202" s="2" t="s">
        <v>35</v>
      </c>
      <c r="B202" s="2">
        <v>2018</v>
      </c>
      <c r="C202" s="2" t="s">
        <v>44</v>
      </c>
      <c r="D202" s="2">
        <v>137.5</v>
      </c>
      <c r="E202" s="2">
        <v>149.1</v>
      </c>
      <c r="F202" s="2">
        <v>139.19999999999999</v>
      </c>
      <c r="G202" s="2">
        <v>142.5</v>
      </c>
      <c r="H202" s="2">
        <v>121.4</v>
      </c>
      <c r="I202" s="2">
        <v>151.6</v>
      </c>
      <c r="J202" s="2">
        <v>155.9</v>
      </c>
      <c r="K202" s="2">
        <v>121.7</v>
      </c>
      <c r="L202" s="2">
        <v>113.5</v>
      </c>
      <c r="M202" s="2">
        <v>138.9</v>
      </c>
      <c r="N202" s="2">
        <v>130.30000000000001</v>
      </c>
      <c r="O202" s="2">
        <v>152.30000000000001</v>
      </c>
      <c r="P202" s="2">
        <v>141.4</v>
      </c>
      <c r="Q202" s="2">
        <v>157.5</v>
      </c>
      <c r="R202" s="2">
        <v>146.80000000000001</v>
      </c>
      <c r="S202" s="2">
        <v>138.4</v>
      </c>
      <c r="T202" s="2">
        <v>145.6</v>
      </c>
      <c r="U202" s="2" t="s">
        <v>110</v>
      </c>
      <c r="V202" s="2">
        <v>139.69999999999999</v>
      </c>
      <c r="W202" s="2">
        <v>138.6</v>
      </c>
      <c r="X202" s="2">
        <v>137</v>
      </c>
      <c r="Y202" s="2">
        <v>123.6</v>
      </c>
      <c r="Z202" s="2">
        <v>133.1</v>
      </c>
      <c r="AA202" s="2">
        <v>144.69999999999999</v>
      </c>
      <c r="AB202" s="2">
        <v>130.1</v>
      </c>
      <c r="AC202" s="2">
        <v>133.19999999999999</v>
      </c>
      <c r="AD202" s="2">
        <v>139.80000000000001</v>
      </c>
    </row>
    <row r="203" spans="1:30" x14ac:dyDescent="0.35">
      <c r="A203" s="2" t="s">
        <v>30</v>
      </c>
      <c r="B203" s="2">
        <v>2018</v>
      </c>
      <c r="C203" s="2" t="s">
        <v>46</v>
      </c>
      <c r="D203" s="2">
        <v>139.19999999999999</v>
      </c>
      <c r="E203" s="2">
        <v>148.80000000000001</v>
      </c>
      <c r="F203" s="2">
        <v>139.1</v>
      </c>
      <c r="G203" s="2">
        <v>143.5</v>
      </c>
      <c r="H203" s="2">
        <v>125</v>
      </c>
      <c r="I203" s="2">
        <v>154.4</v>
      </c>
      <c r="J203" s="2">
        <v>156.30000000000001</v>
      </c>
      <c r="K203" s="2">
        <v>126.8</v>
      </c>
      <c r="L203" s="2">
        <v>115.4</v>
      </c>
      <c r="M203" s="2">
        <v>138.6</v>
      </c>
      <c r="N203" s="2">
        <v>133.80000000000001</v>
      </c>
      <c r="O203" s="2">
        <v>155.19999999999999</v>
      </c>
      <c r="P203" s="2">
        <v>142.69999999999999</v>
      </c>
      <c r="Q203" s="2">
        <v>156.4</v>
      </c>
      <c r="R203" s="2">
        <v>152.1</v>
      </c>
      <c r="S203" s="2">
        <v>145.80000000000001</v>
      </c>
      <c r="T203" s="2">
        <v>151.30000000000001</v>
      </c>
      <c r="U203" s="2" t="s">
        <v>32</v>
      </c>
      <c r="V203" s="2">
        <v>147.69999999999999</v>
      </c>
      <c r="W203" s="2">
        <v>143.80000000000001</v>
      </c>
      <c r="X203" s="2">
        <v>139.4</v>
      </c>
      <c r="Y203" s="2">
        <v>128.30000000000001</v>
      </c>
      <c r="Z203" s="2">
        <v>138.6</v>
      </c>
      <c r="AA203" s="2">
        <v>146.9</v>
      </c>
      <c r="AB203" s="2">
        <v>131.30000000000001</v>
      </c>
      <c r="AC203" s="2">
        <v>136.6</v>
      </c>
      <c r="AD203" s="2">
        <v>142.5</v>
      </c>
    </row>
    <row r="204" spans="1:30" x14ac:dyDescent="0.35">
      <c r="A204" s="2" t="s">
        <v>33</v>
      </c>
      <c r="B204" s="2">
        <v>2018</v>
      </c>
      <c r="C204" s="2" t="s">
        <v>46</v>
      </c>
      <c r="D204" s="2">
        <v>136.5</v>
      </c>
      <c r="E204" s="2">
        <v>146.4</v>
      </c>
      <c r="F204" s="2">
        <v>136.6</v>
      </c>
      <c r="G204" s="2">
        <v>141.19999999999999</v>
      </c>
      <c r="H204" s="2">
        <v>117.4</v>
      </c>
      <c r="I204" s="2">
        <v>146.30000000000001</v>
      </c>
      <c r="J204" s="2">
        <v>157.30000000000001</v>
      </c>
      <c r="K204" s="2">
        <v>113.6</v>
      </c>
      <c r="L204" s="2">
        <v>113.3</v>
      </c>
      <c r="M204" s="2">
        <v>141.1</v>
      </c>
      <c r="N204" s="2">
        <v>127.4</v>
      </c>
      <c r="O204" s="2">
        <v>150.4</v>
      </c>
      <c r="P204" s="2">
        <v>140.1</v>
      </c>
      <c r="Q204" s="2">
        <v>162.1</v>
      </c>
      <c r="R204" s="2">
        <v>140</v>
      </c>
      <c r="S204" s="2">
        <v>129</v>
      </c>
      <c r="T204" s="2">
        <v>138.30000000000001</v>
      </c>
      <c r="U204" s="2" t="s">
        <v>111</v>
      </c>
      <c r="V204" s="2">
        <v>129.80000000000001</v>
      </c>
      <c r="W204" s="2">
        <v>134.4</v>
      </c>
      <c r="X204" s="2">
        <v>134.9</v>
      </c>
      <c r="Y204" s="2">
        <v>120.7</v>
      </c>
      <c r="Z204" s="2">
        <v>129.80000000000001</v>
      </c>
      <c r="AA204" s="2">
        <v>145.30000000000001</v>
      </c>
      <c r="AB204" s="2">
        <v>128.30000000000001</v>
      </c>
      <c r="AC204" s="2">
        <v>131</v>
      </c>
      <c r="AD204" s="2">
        <v>138</v>
      </c>
    </row>
    <row r="205" spans="1:30" x14ac:dyDescent="0.35">
      <c r="A205" s="2" t="s">
        <v>35</v>
      </c>
      <c r="B205" s="2">
        <v>2018</v>
      </c>
      <c r="C205" s="2" t="s">
        <v>46</v>
      </c>
      <c r="D205" s="2">
        <v>138.30000000000001</v>
      </c>
      <c r="E205" s="2">
        <v>148</v>
      </c>
      <c r="F205" s="2">
        <v>138.1</v>
      </c>
      <c r="G205" s="2">
        <v>142.6</v>
      </c>
      <c r="H205" s="2">
        <v>122.2</v>
      </c>
      <c r="I205" s="2">
        <v>150.6</v>
      </c>
      <c r="J205" s="2">
        <v>156.6</v>
      </c>
      <c r="K205" s="2">
        <v>122.4</v>
      </c>
      <c r="L205" s="2">
        <v>114.7</v>
      </c>
      <c r="M205" s="2">
        <v>139.4</v>
      </c>
      <c r="N205" s="2">
        <v>131.1</v>
      </c>
      <c r="O205" s="2">
        <v>153</v>
      </c>
      <c r="P205" s="2">
        <v>141.69999999999999</v>
      </c>
      <c r="Q205" s="2">
        <v>157.9</v>
      </c>
      <c r="R205" s="2">
        <v>147.30000000000001</v>
      </c>
      <c r="S205" s="2">
        <v>138.80000000000001</v>
      </c>
      <c r="T205" s="2">
        <v>146.1</v>
      </c>
      <c r="U205" s="2" t="s">
        <v>111</v>
      </c>
      <c r="V205" s="2">
        <v>140.9</v>
      </c>
      <c r="W205" s="2">
        <v>139.4</v>
      </c>
      <c r="X205" s="2">
        <v>137.69999999999999</v>
      </c>
      <c r="Y205" s="2">
        <v>124.3</v>
      </c>
      <c r="Z205" s="2">
        <v>133.6</v>
      </c>
      <c r="AA205" s="2">
        <v>146</v>
      </c>
      <c r="AB205" s="2">
        <v>130.1</v>
      </c>
      <c r="AC205" s="2">
        <v>133.9</v>
      </c>
      <c r="AD205" s="2">
        <v>140.4</v>
      </c>
    </row>
    <row r="206" spans="1:30" x14ac:dyDescent="0.35">
      <c r="A206" s="2" t="s">
        <v>30</v>
      </c>
      <c r="B206" s="2">
        <v>2018</v>
      </c>
      <c r="C206" s="2" t="s">
        <v>48</v>
      </c>
      <c r="D206" s="2">
        <v>139.4</v>
      </c>
      <c r="E206" s="2">
        <v>147.19999999999999</v>
      </c>
      <c r="F206" s="2">
        <v>136.6</v>
      </c>
      <c r="G206" s="2">
        <v>143.69999999999999</v>
      </c>
      <c r="H206" s="2">
        <v>124.6</v>
      </c>
      <c r="I206" s="2">
        <v>150.1</v>
      </c>
      <c r="J206" s="2">
        <v>149.4</v>
      </c>
      <c r="K206" s="2">
        <v>125.4</v>
      </c>
      <c r="L206" s="2">
        <v>114.4</v>
      </c>
      <c r="M206" s="2">
        <v>138.69999999999999</v>
      </c>
      <c r="N206" s="2">
        <v>133.1</v>
      </c>
      <c r="O206" s="2">
        <v>155.9</v>
      </c>
      <c r="P206" s="2">
        <v>141.30000000000001</v>
      </c>
      <c r="Q206" s="2">
        <v>157.69999999999999</v>
      </c>
      <c r="R206" s="2">
        <v>152.1</v>
      </c>
      <c r="S206" s="2">
        <v>146.1</v>
      </c>
      <c r="T206" s="2">
        <v>151.30000000000001</v>
      </c>
      <c r="U206" s="2" t="s">
        <v>32</v>
      </c>
      <c r="V206" s="2">
        <v>149</v>
      </c>
      <c r="W206" s="2">
        <v>144</v>
      </c>
      <c r="X206" s="2">
        <v>140</v>
      </c>
      <c r="Y206" s="2">
        <v>129.9</v>
      </c>
      <c r="Z206" s="2">
        <v>140</v>
      </c>
      <c r="AA206" s="2">
        <v>147.6</v>
      </c>
      <c r="AB206" s="2">
        <v>132</v>
      </c>
      <c r="AC206" s="2">
        <v>137.4</v>
      </c>
      <c r="AD206" s="2">
        <v>142.1</v>
      </c>
    </row>
    <row r="207" spans="1:30" x14ac:dyDescent="0.35">
      <c r="A207" s="2" t="s">
        <v>33</v>
      </c>
      <c r="B207" s="2">
        <v>2018</v>
      </c>
      <c r="C207" s="2" t="s">
        <v>48</v>
      </c>
      <c r="D207" s="2">
        <v>137</v>
      </c>
      <c r="E207" s="2">
        <v>143.1</v>
      </c>
      <c r="F207" s="2">
        <v>132.80000000000001</v>
      </c>
      <c r="G207" s="2">
        <v>141.5</v>
      </c>
      <c r="H207" s="2">
        <v>117.8</v>
      </c>
      <c r="I207" s="2">
        <v>140</v>
      </c>
      <c r="J207" s="2">
        <v>151.30000000000001</v>
      </c>
      <c r="K207" s="2">
        <v>113.5</v>
      </c>
      <c r="L207" s="2">
        <v>112.3</v>
      </c>
      <c r="M207" s="2">
        <v>141.19999999999999</v>
      </c>
      <c r="N207" s="2">
        <v>127.7</v>
      </c>
      <c r="O207" s="2">
        <v>151.30000000000001</v>
      </c>
      <c r="P207" s="2">
        <v>138.9</v>
      </c>
      <c r="Q207" s="2">
        <v>163.30000000000001</v>
      </c>
      <c r="R207" s="2">
        <v>140.80000000000001</v>
      </c>
      <c r="S207" s="2">
        <v>129.30000000000001</v>
      </c>
      <c r="T207" s="2">
        <v>139.1</v>
      </c>
      <c r="U207" s="2" t="s">
        <v>112</v>
      </c>
      <c r="V207" s="2">
        <v>131.19999999999999</v>
      </c>
      <c r="W207" s="2">
        <v>134.9</v>
      </c>
      <c r="X207" s="2">
        <v>135.69999999999999</v>
      </c>
      <c r="Y207" s="2">
        <v>122.5</v>
      </c>
      <c r="Z207" s="2">
        <v>130.19999999999999</v>
      </c>
      <c r="AA207" s="2">
        <v>145.19999999999999</v>
      </c>
      <c r="AB207" s="2">
        <v>129.30000000000001</v>
      </c>
      <c r="AC207" s="2">
        <v>131.9</v>
      </c>
      <c r="AD207" s="2">
        <v>138.1</v>
      </c>
    </row>
    <row r="208" spans="1:30" x14ac:dyDescent="0.35">
      <c r="A208" s="2" t="s">
        <v>35</v>
      </c>
      <c r="B208" s="2">
        <v>2018</v>
      </c>
      <c r="C208" s="2" t="s">
        <v>48</v>
      </c>
      <c r="D208" s="2">
        <v>138.6</v>
      </c>
      <c r="E208" s="2">
        <v>145.80000000000001</v>
      </c>
      <c r="F208" s="2">
        <v>135.1</v>
      </c>
      <c r="G208" s="2">
        <v>142.9</v>
      </c>
      <c r="H208" s="2">
        <v>122.1</v>
      </c>
      <c r="I208" s="2">
        <v>145.4</v>
      </c>
      <c r="J208" s="2">
        <v>150</v>
      </c>
      <c r="K208" s="2">
        <v>121.4</v>
      </c>
      <c r="L208" s="2">
        <v>113.7</v>
      </c>
      <c r="M208" s="2">
        <v>139.5</v>
      </c>
      <c r="N208" s="2">
        <v>130.80000000000001</v>
      </c>
      <c r="O208" s="2">
        <v>153.80000000000001</v>
      </c>
      <c r="P208" s="2">
        <v>140.4</v>
      </c>
      <c r="Q208" s="2">
        <v>159.19999999999999</v>
      </c>
      <c r="R208" s="2">
        <v>147.69999999999999</v>
      </c>
      <c r="S208" s="2">
        <v>139.1</v>
      </c>
      <c r="T208" s="2">
        <v>146.5</v>
      </c>
      <c r="U208" s="2" t="s">
        <v>112</v>
      </c>
      <c r="V208" s="2">
        <v>142.30000000000001</v>
      </c>
      <c r="W208" s="2">
        <v>139.69999999999999</v>
      </c>
      <c r="X208" s="2">
        <v>138.4</v>
      </c>
      <c r="Y208" s="2">
        <v>126</v>
      </c>
      <c r="Z208" s="2">
        <v>134.5</v>
      </c>
      <c r="AA208" s="2">
        <v>146.19999999999999</v>
      </c>
      <c r="AB208" s="2">
        <v>130.9</v>
      </c>
      <c r="AC208" s="2">
        <v>134.69999999999999</v>
      </c>
      <c r="AD208" s="2">
        <v>140.19999999999999</v>
      </c>
    </row>
    <row r="209" spans="1:30" x14ac:dyDescent="0.35">
      <c r="A209" s="2" t="s">
        <v>30</v>
      </c>
      <c r="B209" s="2">
        <v>2018</v>
      </c>
      <c r="C209" s="2" t="s">
        <v>50</v>
      </c>
      <c r="D209" s="2">
        <v>139.30000000000001</v>
      </c>
      <c r="E209" s="2">
        <v>147.6</v>
      </c>
      <c r="F209" s="2">
        <v>134.6</v>
      </c>
      <c r="G209" s="2">
        <v>141.9</v>
      </c>
      <c r="H209" s="2">
        <v>123.5</v>
      </c>
      <c r="I209" s="2">
        <v>144.5</v>
      </c>
      <c r="J209" s="2">
        <v>147.6</v>
      </c>
      <c r="K209" s="2">
        <v>121.4</v>
      </c>
      <c r="L209" s="2">
        <v>112.3</v>
      </c>
      <c r="M209" s="2">
        <v>139.5</v>
      </c>
      <c r="N209" s="2">
        <v>134.6</v>
      </c>
      <c r="O209" s="2">
        <v>155.19999999999999</v>
      </c>
      <c r="P209" s="2">
        <v>140.19999999999999</v>
      </c>
      <c r="Q209" s="2">
        <v>159.6</v>
      </c>
      <c r="R209" s="2">
        <v>150.69999999999999</v>
      </c>
      <c r="S209" s="2">
        <v>144.5</v>
      </c>
      <c r="T209" s="2">
        <v>149.80000000000001</v>
      </c>
      <c r="U209" s="2" t="s">
        <v>32</v>
      </c>
      <c r="V209" s="2">
        <v>149.69999999999999</v>
      </c>
      <c r="W209" s="2">
        <v>147.5</v>
      </c>
      <c r="X209" s="2">
        <v>144.80000000000001</v>
      </c>
      <c r="Y209" s="2">
        <v>130.80000000000001</v>
      </c>
      <c r="Z209" s="2">
        <v>140.1</v>
      </c>
      <c r="AA209" s="2">
        <v>148</v>
      </c>
      <c r="AB209" s="2">
        <v>134.4</v>
      </c>
      <c r="AC209" s="2">
        <v>139.80000000000001</v>
      </c>
      <c r="AD209" s="2">
        <v>142.19999999999999</v>
      </c>
    </row>
    <row r="210" spans="1:30" x14ac:dyDescent="0.35">
      <c r="A210" s="2" t="s">
        <v>33</v>
      </c>
      <c r="B210" s="2">
        <v>2018</v>
      </c>
      <c r="C210" s="2" t="s">
        <v>50</v>
      </c>
      <c r="D210" s="2">
        <v>137.6</v>
      </c>
      <c r="E210" s="2">
        <v>144.9</v>
      </c>
      <c r="F210" s="2">
        <v>133.5</v>
      </c>
      <c r="G210" s="2">
        <v>141.5</v>
      </c>
      <c r="H210" s="2">
        <v>118</v>
      </c>
      <c r="I210" s="2">
        <v>139.5</v>
      </c>
      <c r="J210" s="2">
        <v>153</v>
      </c>
      <c r="K210" s="2">
        <v>113.2</v>
      </c>
      <c r="L210" s="2">
        <v>112.8</v>
      </c>
      <c r="M210" s="2">
        <v>141.1</v>
      </c>
      <c r="N210" s="2">
        <v>127.6</v>
      </c>
      <c r="O210" s="2">
        <v>152</v>
      </c>
      <c r="P210" s="2">
        <v>139.4</v>
      </c>
      <c r="Q210" s="2">
        <v>164</v>
      </c>
      <c r="R210" s="2">
        <v>141.5</v>
      </c>
      <c r="S210" s="2">
        <v>129.80000000000001</v>
      </c>
      <c r="T210" s="2">
        <v>139.69999999999999</v>
      </c>
      <c r="U210" s="2" t="s">
        <v>113</v>
      </c>
      <c r="V210" s="2">
        <v>133.4</v>
      </c>
      <c r="W210" s="2">
        <v>135.1</v>
      </c>
      <c r="X210" s="2">
        <v>136.19999999999999</v>
      </c>
      <c r="Y210" s="2">
        <v>123.3</v>
      </c>
      <c r="Z210" s="2">
        <v>130.69999999999999</v>
      </c>
      <c r="AA210" s="2">
        <v>145.5</v>
      </c>
      <c r="AB210" s="2">
        <v>130.4</v>
      </c>
      <c r="AC210" s="2">
        <v>132.5</v>
      </c>
      <c r="AD210" s="2">
        <v>138.9</v>
      </c>
    </row>
    <row r="211" spans="1:30" x14ac:dyDescent="0.35">
      <c r="A211" s="2" t="s">
        <v>35</v>
      </c>
      <c r="B211" s="2">
        <v>2018</v>
      </c>
      <c r="C211" s="2" t="s">
        <v>50</v>
      </c>
      <c r="D211" s="2">
        <v>137.4</v>
      </c>
      <c r="E211" s="2">
        <v>149.5</v>
      </c>
      <c r="F211" s="2">
        <v>137.30000000000001</v>
      </c>
      <c r="G211" s="2">
        <v>141.9</v>
      </c>
      <c r="H211" s="2">
        <v>121.1</v>
      </c>
      <c r="I211" s="2">
        <v>142.5</v>
      </c>
      <c r="J211" s="2">
        <v>146.69999999999999</v>
      </c>
      <c r="K211" s="2">
        <v>119.1</v>
      </c>
      <c r="L211" s="2">
        <v>111.9</v>
      </c>
      <c r="M211" s="2">
        <v>141</v>
      </c>
      <c r="N211" s="2">
        <v>133.6</v>
      </c>
      <c r="O211" s="2">
        <v>154.5</v>
      </c>
      <c r="P211" s="2">
        <v>139.69999999999999</v>
      </c>
      <c r="Q211" s="2">
        <v>162.6</v>
      </c>
      <c r="R211" s="2">
        <v>148</v>
      </c>
      <c r="S211" s="2">
        <v>139.19999999999999</v>
      </c>
      <c r="T211" s="2">
        <v>146.80000000000001</v>
      </c>
      <c r="U211" s="2" t="s">
        <v>114</v>
      </c>
      <c r="V211" s="2">
        <v>145.30000000000001</v>
      </c>
      <c r="W211" s="2">
        <v>142.19999999999999</v>
      </c>
      <c r="X211" s="2">
        <v>142.1</v>
      </c>
      <c r="Y211" s="2">
        <v>125.5</v>
      </c>
      <c r="Z211" s="2">
        <v>136.5</v>
      </c>
      <c r="AA211" s="2">
        <v>147.80000000000001</v>
      </c>
      <c r="AB211" s="2">
        <v>132</v>
      </c>
      <c r="AC211" s="2">
        <v>136.30000000000001</v>
      </c>
      <c r="AD211" s="2">
        <v>140.80000000000001</v>
      </c>
    </row>
    <row r="212" spans="1:30" x14ac:dyDescent="0.35">
      <c r="A212" s="2" t="s">
        <v>30</v>
      </c>
      <c r="B212" s="2">
        <v>2018</v>
      </c>
      <c r="C212" s="2" t="s">
        <v>53</v>
      </c>
      <c r="D212" s="2">
        <v>137.1</v>
      </c>
      <c r="E212" s="2">
        <v>150.80000000000001</v>
      </c>
      <c r="F212" s="2">
        <v>136.69999999999999</v>
      </c>
      <c r="G212" s="2">
        <v>141.9</v>
      </c>
      <c r="H212" s="2">
        <v>122.8</v>
      </c>
      <c r="I212" s="2">
        <v>143.9</v>
      </c>
      <c r="J212" s="2">
        <v>147.5</v>
      </c>
      <c r="K212" s="2">
        <v>121</v>
      </c>
      <c r="L212" s="2">
        <v>111.6</v>
      </c>
      <c r="M212" s="2">
        <v>140.6</v>
      </c>
      <c r="N212" s="2">
        <v>137.5</v>
      </c>
      <c r="O212" s="2">
        <v>156.1</v>
      </c>
      <c r="P212" s="2">
        <v>140</v>
      </c>
      <c r="Q212" s="2">
        <v>161.9</v>
      </c>
      <c r="R212" s="2">
        <v>151.69999999999999</v>
      </c>
      <c r="S212" s="2">
        <v>145.5</v>
      </c>
      <c r="T212" s="2">
        <v>150.80000000000001</v>
      </c>
      <c r="U212" s="2" t="s">
        <v>32</v>
      </c>
      <c r="V212" s="2">
        <v>150.30000000000001</v>
      </c>
      <c r="W212" s="2">
        <v>148</v>
      </c>
      <c r="X212" s="2">
        <v>145.4</v>
      </c>
      <c r="Y212" s="2">
        <v>130.30000000000001</v>
      </c>
      <c r="Z212" s="2">
        <v>143.1</v>
      </c>
      <c r="AA212" s="2">
        <v>150.19999999999999</v>
      </c>
      <c r="AB212" s="2">
        <v>133.1</v>
      </c>
      <c r="AC212" s="2">
        <v>140.1</v>
      </c>
      <c r="AD212" s="2">
        <v>142.4</v>
      </c>
    </row>
    <row r="213" spans="1:30" x14ac:dyDescent="0.35">
      <c r="A213" s="2" t="s">
        <v>33</v>
      </c>
      <c r="B213" s="2">
        <v>2018</v>
      </c>
      <c r="C213" s="2" t="s">
        <v>53</v>
      </c>
      <c r="D213" s="2">
        <v>138.1</v>
      </c>
      <c r="E213" s="2">
        <v>146.30000000000001</v>
      </c>
      <c r="F213" s="2">
        <v>137.80000000000001</v>
      </c>
      <c r="G213" s="2">
        <v>141.6</v>
      </c>
      <c r="H213" s="2">
        <v>118.1</v>
      </c>
      <c r="I213" s="2">
        <v>141.5</v>
      </c>
      <c r="J213" s="2">
        <v>145.19999999999999</v>
      </c>
      <c r="K213" s="2">
        <v>115.3</v>
      </c>
      <c r="L213" s="2">
        <v>112.5</v>
      </c>
      <c r="M213" s="2">
        <v>141.4</v>
      </c>
      <c r="N213" s="2">
        <v>128</v>
      </c>
      <c r="O213" s="2">
        <v>152.6</v>
      </c>
      <c r="P213" s="2">
        <v>139.1</v>
      </c>
      <c r="Q213" s="2">
        <v>164.4</v>
      </c>
      <c r="R213" s="2">
        <v>142.4</v>
      </c>
      <c r="S213" s="2">
        <v>130.19999999999999</v>
      </c>
      <c r="T213" s="2">
        <v>140.5</v>
      </c>
      <c r="U213" s="2" t="s">
        <v>114</v>
      </c>
      <c r="V213" s="2">
        <v>136.69999999999999</v>
      </c>
      <c r="W213" s="2">
        <v>135.80000000000001</v>
      </c>
      <c r="X213" s="2">
        <v>136.80000000000001</v>
      </c>
      <c r="Y213" s="2">
        <v>121.2</v>
      </c>
      <c r="Z213" s="2">
        <v>131.30000000000001</v>
      </c>
      <c r="AA213" s="2">
        <v>146.1</v>
      </c>
      <c r="AB213" s="2">
        <v>130.5</v>
      </c>
      <c r="AC213" s="2">
        <v>132.19999999999999</v>
      </c>
      <c r="AD213" s="2">
        <v>139</v>
      </c>
    </row>
    <row r="214" spans="1:30" x14ac:dyDescent="0.35">
      <c r="A214" s="2" t="s">
        <v>35</v>
      </c>
      <c r="B214" s="2">
        <v>2018</v>
      </c>
      <c r="C214" s="2" t="s">
        <v>53</v>
      </c>
      <c r="D214" s="2">
        <v>137.4</v>
      </c>
      <c r="E214" s="2">
        <v>149.19999999999999</v>
      </c>
      <c r="F214" s="2">
        <v>137.1</v>
      </c>
      <c r="G214" s="2">
        <v>141.80000000000001</v>
      </c>
      <c r="H214" s="2">
        <v>121.1</v>
      </c>
      <c r="I214" s="2">
        <v>142.80000000000001</v>
      </c>
      <c r="J214" s="2">
        <v>146.69999999999999</v>
      </c>
      <c r="K214" s="2">
        <v>119.1</v>
      </c>
      <c r="L214" s="2">
        <v>111.9</v>
      </c>
      <c r="M214" s="2">
        <v>140.9</v>
      </c>
      <c r="N214" s="2">
        <v>133.5</v>
      </c>
      <c r="O214" s="2">
        <v>154.5</v>
      </c>
      <c r="P214" s="2">
        <v>139.69999999999999</v>
      </c>
      <c r="Q214" s="2">
        <v>162.6</v>
      </c>
      <c r="R214" s="2">
        <v>148</v>
      </c>
      <c r="S214" s="2">
        <v>139.1</v>
      </c>
      <c r="T214" s="2">
        <v>146.69999999999999</v>
      </c>
      <c r="U214" s="2" t="s">
        <v>114</v>
      </c>
      <c r="V214" s="2">
        <v>145.1</v>
      </c>
      <c r="W214" s="2">
        <v>142.19999999999999</v>
      </c>
      <c r="X214" s="2">
        <v>142.1</v>
      </c>
      <c r="Y214" s="2">
        <v>125.5</v>
      </c>
      <c r="Z214" s="2">
        <v>136.5</v>
      </c>
      <c r="AA214" s="2">
        <v>147.80000000000001</v>
      </c>
      <c r="AB214" s="2">
        <v>132</v>
      </c>
      <c r="AC214" s="2">
        <v>136.30000000000001</v>
      </c>
      <c r="AD214" s="2">
        <v>140.80000000000001</v>
      </c>
    </row>
    <row r="215" spans="1:30" x14ac:dyDescent="0.35">
      <c r="A215" s="2" t="s">
        <v>30</v>
      </c>
      <c r="B215" s="2">
        <v>2018</v>
      </c>
      <c r="C215" s="2" t="s">
        <v>55</v>
      </c>
      <c r="D215" s="2">
        <v>137.1</v>
      </c>
      <c r="E215" s="2">
        <v>151.9</v>
      </c>
      <c r="F215" s="2">
        <v>137.4</v>
      </c>
      <c r="G215" s="2">
        <v>142.4</v>
      </c>
      <c r="H215" s="2">
        <v>124.2</v>
      </c>
      <c r="I215" s="2">
        <v>140.19999999999999</v>
      </c>
      <c r="J215" s="2">
        <v>136.6</v>
      </c>
      <c r="K215" s="2">
        <v>120.9</v>
      </c>
      <c r="L215" s="2">
        <v>109.9</v>
      </c>
      <c r="M215" s="2">
        <v>140.19999999999999</v>
      </c>
      <c r="N215" s="2">
        <v>137.80000000000001</v>
      </c>
      <c r="O215" s="2">
        <v>156</v>
      </c>
      <c r="P215" s="2">
        <v>138.5</v>
      </c>
      <c r="Q215" s="2">
        <v>162.4</v>
      </c>
      <c r="R215" s="2">
        <v>151.6</v>
      </c>
      <c r="S215" s="2">
        <v>145.9</v>
      </c>
      <c r="T215" s="2">
        <v>150.80000000000001</v>
      </c>
      <c r="U215" s="2" t="s">
        <v>32</v>
      </c>
      <c r="V215" s="2">
        <v>149</v>
      </c>
      <c r="W215" s="2">
        <v>149.5</v>
      </c>
      <c r="X215" s="2">
        <v>149.6</v>
      </c>
      <c r="Y215" s="2">
        <v>128.9</v>
      </c>
      <c r="Z215" s="2">
        <v>143.30000000000001</v>
      </c>
      <c r="AA215" s="2">
        <v>155.1</v>
      </c>
      <c r="AB215" s="2">
        <v>133.19999999999999</v>
      </c>
      <c r="AC215" s="2">
        <v>141.6</v>
      </c>
      <c r="AD215" s="2">
        <v>141.9</v>
      </c>
    </row>
    <row r="216" spans="1:30" x14ac:dyDescent="0.35">
      <c r="A216" s="2" t="s">
        <v>33</v>
      </c>
      <c r="B216" s="2">
        <v>2018</v>
      </c>
      <c r="C216" s="2" t="s">
        <v>55</v>
      </c>
      <c r="D216" s="2">
        <v>138.5</v>
      </c>
      <c r="E216" s="2">
        <v>147.80000000000001</v>
      </c>
      <c r="F216" s="2">
        <v>141.1</v>
      </c>
      <c r="G216" s="2">
        <v>141.6</v>
      </c>
      <c r="H216" s="2">
        <v>118.1</v>
      </c>
      <c r="I216" s="2">
        <v>138.5</v>
      </c>
      <c r="J216" s="2">
        <v>132.4</v>
      </c>
      <c r="K216" s="2">
        <v>117.5</v>
      </c>
      <c r="L216" s="2">
        <v>111</v>
      </c>
      <c r="M216" s="2">
        <v>141.5</v>
      </c>
      <c r="N216" s="2">
        <v>128.1</v>
      </c>
      <c r="O216" s="2">
        <v>152.9</v>
      </c>
      <c r="P216" s="2">
        <v>137.6</v>
      </c>
      <c r="Q216" s="2">
        <v>164.6</v>
      </c>
      <c r="R216" s="2">
        <v>142.69999999999999</v>
      </c>
      <c r="S216" s="2">
        <v>130.30000000000001</v>
      </c>
      <c r="T216" s="2">
        <v>140.80000000000001</v>
      </c>
      <c r="U216" s="2" t="s">
        <v>115</v>
      </c>
      <c r="V216" s="2">
        <v>132.4</v>
      </c>
      <c r="W216" s="2">
        <v>136.19999999999999</v>
      </c>
      <c r="X216" s="2">
        <v>137.30000000000001</v>
      </c>
      <c r="Y216" s="2">
        <v>118.8</v>
      </c>
      <c r="Z216" s="2">
        <v>131.69999999999999</v>
      </c>
      <c r="AA216" s="2">
        <v>146.5</v>
      </c>
      <c r="AB216" s="2">
        <v>130.80000000000001</v>
      </c>
      <c r="AC216" s="2">
        <v>131.69999999999999</v>
      </c>
      <c r="AD216" s="2">
        <v>138</v>
      </c>
    </row>
    <row r="217" spans="1:30" x14ac:dyDescent="0.35">
      <c r="A217" s="2" t="s">
        <v>35</v>
      </c>
      <c r="B217" s="2">
        <v>2018</v>
      </c>
      <c r="C217" s="2" t="s">
        <v>55</v>
      </c>
      <c r="D217" s="2">
        <v>137.5</v>
      </c>
      <c r="E217" s="2">
        <v>150.5</v>
      </c>
      <c r="F217" s="2">
        <v>138.80000000000001</v>
      </c>
      <c r="G217" s="2">
        <v>142.1</v>
      </c>
      <c r="H217" s="2">
        <v>122</v>
      </c>
      <c r="I217" s="2">
        <v>139.4</v>
      </c>
      <c r="J217" s="2">
        <v>135.19999999999999</v>
      </c>
      <c r="K217" s="2">
        <v>119.8</v>
      </c>
      <c r="L217" s="2">
        <v>110.3</v>
      </c>
      <c r="M217" s="2">
        <v>140.6</v>
      </c>
      <c r="N217" s="2">
        <v>133.80000000000001</v>
      </c>
      <c r="O217" s="2">
        <v>154.6</v>
      </c>
      <c r="P217" s="2">
        <v>138.19999999999999</v>
      </c>
      <c r="Q217" s="2">
        <v>163</v>
      </c>
      <c r="R217" s="2">
        <v>148.1</v>
      </c>
      <c r="S217" s="2">
        <v>139.4</v>
      </c>
      <c r="T217" s="2">
        <v>146.80000000000001</v>
      </c>
      <c r="U217" s="2" t="s">
        <v>115</v>
      </c>
      <c r="V217" s="2">
        <v>142.69999999999999</v>
      </c>
      <c r="W217" s="2">
        <v>143.19999999999999</v>
      </c>
      <c r="X217" s="2">
        <v>144.9</v>
      </c>
      <c r="Y217" s="2">
        <v>123.6</v>
      </c>
      <c r="Z217" s="2">
        <v>136.80000000000001</v>
      </c>
      <c r="AA217" s="2">
        <v>150.1</v>
      </c>
      <c r="AB217" s="2">
        <v>132.19999999999999</v>
      </c>
      <c r="AC217" s="2">
        <v>136.80000000000001</v>
      </c>
      <c r="AD217" s="2">
        <v>140.1</v>
      </c>
    </row>
    <row r="218" spans="1:30" x14ac:dyDescent="0.35">
      <c r="A218" s="2" t="s">
        <v>30</v>
      </c>
      <c r="B218" s="2">
        <v>2019</v>
      </c>
      <c r="C218" s="2" t="s">
        <v>31</v>
      </c>
      <c r="D218" s="2">
        <v>136.6</v>
      </c>
      <c r="E218" s="2">
        <v>152.5</v>
      </c>
      <c r="F218" s="2">
        <v>138.19999999999999</v>
      </c>
      <c r="G218" s="2">
        <v>142.4</v>
      </c>
      <c r="H218" s="2">
        <v>123.9</v>
      </c>
      <c r="I218" s="2">
        <v>135.5</v>
      </c>
      <c r="J218" s="2">
        <v>131.69999999999999</v>
      </c>
      <c r="K218" s="2">
        <v>121.3</v>
      </c>
      <c r="L218" s="2">
        <v>108.4</v>
      </c>
      <c r="M218" s="2">
        <v>138.9</v>
      </c>
      <c r="N218" s="2">
        <v>137</v>
      </c>
      <c r="O218" s="2">
        <v>155.80000000000001</v>
      </c>
      <c r="P218" s="2">
        <v>137.4</v>
      </c>
      <c r="Q218" s="2">
        <v>162.69999999999999</v>
      </c>
      <c r="R218" s="2">
        <v>150.6</v>
      </c>
      <c r="S218" s="2">
        <v>145.1</v>
      </c>
      <c r="T218" s="2">
        <v>149.9</v>
      </c>
      <c r="U218" s="2" t="s">
        <v>32</v>
      </c>
      <c r="V218" s="2">
        <v>146.19999999999999</v>
      </c>
      <c r="W218" s="2">
        <v>150.1</v>
      </c>
      <c r="X218" s="2">
        <v>149.6</v>
      </c>
      <c r="Y218" s="2">
        <v>128.6</v>
      </c>
      <c r="Z218" s="2">
        <v>142.9</v>
      </c>
      <c r="AA218" s="2">
        <v>155.19999999999999</v>
      </c>
      <c r="AB218" s="2">
        <v>133.5</v>
      </c>
      <c r="AC218" s="2">
        <v>141.69999999999999</v>
      </c>
      <c r="AD218" s="2">
        <v>141</v>
      </c>
    </row>
    <row r="219" spans="1:30" x14ac:dyDescent="0.35">
      <c r="A219" s="2" t="s">
        <v>33</v>
      </c>
      <c r="B219" s="2">
        <v>2019</v>
      </c>
      <c r="C219" s="2" t="s">
        <v>31</v>
      </c>
      <c r="D219" s="2">
        <v>138.30000000000001</v>
      </c>
      <c r="E219" s="2">
        <v>149.4</v>
      </c>
      <c r="F219" s="2">
        <v>143.5</v>
      </c>
      <c r="G219" s="2">
        <v>141.69999999999999</v>
      </c>
      <c r="H219" s="2">
        <v>118.1</v>
      </c>
      <c r="I219" s="2">
        <v>135.19999999999999</v>
      </c>
      <c r="J219" s="2">
        <v>130.5</v>
      </c>
      <c r="K219" s="2">
        <v>118.2</v>
      </c>
      <c r="L219" s="2">
        <v>110.4</v>
      </c>
      <c r="M219" s="2">
        <v>140.4</v>
      </c>
      <c r="N219" s="2">
        <v>128.1</v>
      </c>
      <c r="O219" s="2">
        <v>153.19999999999999</v>
      </c>
      <c r="P219" s="2">
        <v>137.30000000000001</v>
      </c>
      <c r="Q219" s="2">
        <v>164.7</v>
      </c>
      <c r="R219" s="2">
        <v>143</v>
      </c>
      <c r="S219" s="2">
        <v>130.4</v>
      </c>
      <c r="T219" s="2">
        <v>141.1</v>
      </c>
      <c r="U219" s="2" t="s">
        <v>116</v>
      </c>
      <c r="V219" s="2">
        <v>128.6</v>
      </c>
      <c r="W219" s="2">
        <v>136.30000000000001</v>
      </c>
      <c r="X219" s="2">
        <v>137.80000000000001</v>
      </c>
      <c r="Y219" s="2">
        <v>118.6</v>
      </c>
      <c r="Z219" s="2">
        <v>131.9</v>
      </c>
      <c r="AA219" s="2">
        <v>146.6</v>
      </c>
      <c r="AB219" s="2">
        <v>131.69999999999999</v>
      </c>
      <c r="AC219" s="2">
        <v>131.80000000000001</v>
      </c>
      <c r="AD219" s="2">
        <v>138</v>
      </c>
    </row>
    <row r="220" spans="1:30" x14ac:dyDescent="0.35">
      <c r="A220" s="2" t="s">
        <v>35</v>
      </c>
      <c r="B220" s="2">
        <v>2019</v>
      </c>
      <c r="C220" s="2" t="s">
        <v>31</v>
      </c>
      <c r="D220" s="2">
        <v>137.1</v>
      </c>
      <c r="E220" s="2">
        <v>151.4</v>
      </c>
      <c r="F220" s="2">
        <v>140.19999999999999</v>
      </c>
      <c r="G220" s="2">
        <v>142.1</v>
      </c>
      <c r="H220" s="2">
        <v>121.8</v>
      </c>
      <c r="I220" s="2">
        <v>135.4</v>
      </c>
      <c r="J220" s="2">
        <v>131.30000000000001</v>
      </c>
      <c r="K220" s="2">
        <v>120.3</v>
      </c>
      <c r="L220" s="2">
        <v>109.1</v>
      </c>
      <c r="M220" s="2">
        <v>139.4</v>
      </c>
      <c r="N220" s="2">
        <v>133.30000000000001</v>
      </c>
      <c r="O220" s="2">
        <v>154.6</v>
      </c>
      <c r="P220" s="2">
        <v>137.4</v>
      </c>
      <c r="Q220" s="2">
        <v>163.19999999999999</v>
      </c>
      <c r="R220" s="2">
        <v>147.6</v>
      </c>
      <c r="S220" s="2">
        <v>139</v>
      </c>
      <c r="T220" s="2">
        <v>146.4</v>
      </c>
      <c r="U220" s="2" t="s">
        <v>116</v>
      </c>
      <c r="V220" s="2">
        <v>139.5</v>
      </c>
      <c r="W220" s="2">
        <v>143.6</v>
      </c>
      <c r="X220" s="2">
        <v>145.1</v>
      </c>
      <c r="Y220" s="2">
        <v>123.3</v>
      </c>
      <c r="Z220" s="2">
        <v>136.69999999999999</v>
      </c>
      <c r="AA220" s="2">
        <v>150.19999999999999</v>
      </c>
      <c r="AB220" s="2">
        <v>132.80000000000001</v>
      </c>
      <c r="AC220" s="2">
        <v>136.9</v>
      </c>
      <c r="AD220" s="2">
        <v>139.6</v>
      </c>
    </row>
    <row r="221" spans="1:30" x14ac:dyDescent="0.35">
      <c r="A221" s="2" t="s">
        <v>30</v>
      </c>
      <c r="B221" s="2">
        <v>2019</v>
      </c>
      <c r="C221" s="2" t="s">
        <v>36</v>
      </c>
      <c r="D221" s="2">
        <v>136.80000000000001</v>
      </c>
      <c r="E221" s="2">
        <v>153</v>
      </c>
      <c r="F221" s="2">
        <v>139.1</v>
      </c>
      <c r="G221" s="2">
        <v>142.5</v>
      </c>
      <c r="H221" s="2">
        <v>124.1</v>
      </c>
      <c r="I221" s="2">
        <v>135.80000000000001</v>
      </c>
      <c r="J221" s="2">
        <v>128.69999999999999</v>
      </c>
      <c r="K221" s="2">
        <v>121.5</v>
      </c>
      <c r="L221" s="2">
        <v>108.3</v>
      </c>
      <c r="M221" s="2">
        <v>139.19999999999999</v>
      </c>
      <c r="N221" s="2">
        <v>137.4</v>
      </c>
      <c r="O221" s="2">
        <v>156.19999999999999</v>
      </c>
      <c r="P221" s="2">
        <v>137.19999999999999</v>
      </c>
      <c r="Q221" s="2">
        <v>162.80000000000001</v>
      </c>
      <c r="R221" s="2">
        <v>150.5</v>
      </c>
      <c r="S221" s="2">
        <v>146.1</v>
      </c>
      <c r="T221" s="2">
        <v>149.9</v>
      </c>
      <c r="U221" s="2" t="s">
        <v>32</v>
      </c>
      <c r="V221" s="2">
        <v>145.30000000000001</v>
      </c>
      <c r="W221" s="2">
        <v>150.1</v>
      </c>
      <c r="X221" s="2">
        <v>149.9</v>
      </c>
      <c r="Y221" s="2">
        <v>129.19999999999999</v>
      </c>
      <c r="Z221" s="2">
        <v>143.4</v>
      </c>
      <c r="AA221" s="2">
        <v>155.5</v>
      </c>
      <c r="AB221" s="2">
        <v>134.9</v>
      </c>
      <c r="AC221" s="2">
        <v>142.19999999999999</v>
      </c>
      <c r="AD221" s="2">
        <v>141</v>
      </c>
    </row>
    <row r="222" spans="1:30" x14ac:dyDescent="0.35">
      <c r="A222" s="2" t="s">
        <v>33</v>
      </c>
      <c r="B222" s="2">
        <v>2019</v>
      </c>
      <c r="C222" s="2" t="s">
        <v>36</v>
      </c>
      <c r="D222" s="2">
        <v>139.4</v>
      </c>
      <c r="E222" s="2">
        <v>150.1</v>
      </c>
      <c r="F222" s="2">
        <v>145.30000000000001</v>
      </c>
      <c r="G222" s="2">
        <v>141.69999999999999</v>
      </c>
      <c r="H222" s="2">
        <v>118.4</v>
      </c>
      <c r="I222" s="2">
        <v>137</v>
      </c>
      <c r="J222" s="2">
        <v>131.6</v>
      </c>
      <c r="K222" s="2">
        <v>119.9</v>
      </c>
      <c r="L222" s="2">
        <v>110.4</v>
      </c>
      <c r="M222" s="2">
        <v>140.80000000000001</v>
      </c>
      <c r="N222" s="2">
        <v>128.30000000000001</v>
      </c>
      <c r="O222" s="2">
        <v>153.5</v>
      </c>
      <c r="P222" s="2">
        <v>138</v>
      </c>
      <c r="Q222" s="2">
        <v>164.9</v>
      </c>
      <c r="R222" s="2">
        <v>143.30000000000001</v>
      </c>
      <c r="S222" s="2">
        <v>130.80000000000001</v>
      </c>
      <c r="T222" s="2">
        <v>141.4</v>
      </c>
      <c r="U222" s="2" t="s">
        <v>117</v>
      </c>
      <c r="V222" s="2">
        <v>127.1</v>
      </c>
      <c r="W222" s="2">
        <v>136.6</v>
      </c>
      <c r="X222" s="2">
        <v>138.5</v>
      </c>
      <c r="Y222" s="2">
        <v>119.2</v>
      </c>
      <c r="Z222" s="2">
        <v>132.19999999999999</v>
      </c>
      <c r="AA222" s="2">
        <v>146.6</v>
      </c>
      <c r="AB222" s="2">
        <v>133</v>
      </c>
      <c r="AC222" s="2">
        <v>132.4</v>
      </c>
      <c r="AD222" s="2">
        <v>138.6</v>
      </c>
    </row>
    <row r="223" spans="1:30" x14ac:dyDescent="0.35">
      <c r="A223" s="2" t="s">
        <v>35</v>
      </c>
      <c r="B223" s="2">
        <v>2019</v>
      </c>
      <c r="C223" s="2" t="s">
        <v>36</v>
      </c>
      <c r="D223" s="2">
        <v>137.6</v>
      </c>
      <c r="E223" s="2">
        <v>152</v>
      </c>
      <c r="F223" s="2">
        <v>141.5</v>
      </c>
      <c r="G223" s="2">
        <v>142.19999999999999</v>
      </c>
      <c r="H223" s="2">
        <v>122</v>
      </c>
      <c r="I223" s="2">
        <v>136.4</v>
      </c>
      <c r="J223" s="2">
        <v>129.69999999999999</v>
      </c>
      <c r="K223" s="2">
        <v>121</v>
      </c>
      <c r="L223" s="2">
        <v>109</v>
      </c>
      <c r="M223" s="2">
        <v>139.69999999999999</v>
      </c>
      <c r="N223" s="2">
        <v>133.6</v>
      </c>
      <c r="O223" s="2">
        <v>154.9</v>
      </c>
      <c r="P223" s="2">
        <v>137.5</v>
      </c>
      <c r="Q223" s="2">
        <v>163.4</v>
      </c>
      <c r="R223" s="2">
        <v>147.69999999999999</v>
      </c>
      <c r="S223" s="2">
        <v>139.69999999999999</v>
      </c>
      <c r="T223" s="2">
        <v>146.5</v>
      </c>
      <c r="U223" s="2" t="s">
        <v>117</v>
      </c>
      <c r="V223" s="2">
        <v>138.4</v>
      </c>
      <c r="W223" s="2">
        <v>143.69999999999999</v>
      </c>
      <c r="X223" s="2">
        <v>145.6</v>
      </c>
      <c r="Y223" s="2">
        <v>123.9</v>
      </c>
      <c r="Z223" s="2">
        <v>137.1</v>
      </c>
      <c r="AA223" s="2">
        <v>150.30000000000001</v>
      </c>
      <c r="AB223" s="2">
        <v>134.1</v>
      </c>
      <c r="AC223" s="2">
        <v>137.4</v>
      </c>
      <c r="AD223" s="2">
        <v>139.9</v>
      </c>
    </row>
    <row r="224" spans="1:30" x14ac:dyDescent="0.35">
      <c r="A224" s="2" t="s">
        <v>30</v>
      </c>
      <c r="B224" s="2">
        <v>2019</v>
      </c>
      <c r="C224" s="2" t="s">
        <v>38</v>
      </c>
      <c r="D224" s="2">
        <v>136.9</v>
      </c>
      <c r="E224" s="2">
        <v>154.1</v>
      </c>
      <c r="F224" s="2">
        <v>138.69999999999999</v>
      </c>
      <c r="G224" s="2">
        <v>142.5</v>
      </c>
      <c r="H224" s="2">
        <v>124.1</v>
      </c>
      <c r="I224" s="2">
        <v>136.1</v>
      </c>
      <c r="J224" s="2">
        <v>128.19999999999999</v>
      </c>
      <c r="K224" s="2">
        <v>122.3</v>
      </c>
      <c r="L224" s="2">
        <v>108.3</v>
      </c>
      <c r="M224" s="2">
        <v>138.9</v>
      </c>
      <c r="N224" s="2">
        <v>137.4</v>
      </c>
      <c r="O224" s="2">
        <v>156.4</v>
      </c>
      <c r="P224" s="2">
        <v>137.30000000000001</v>
      </c>
      <c r="Q224" s="2">
        <v>162.9</v>
      </c>
      <c r="R224" s="2">
        <v>150.80000000000001</v>
      </c>
      <c r="S224" s="2">
        <v>146.1</v>
      </c>
      <c r="T224" s="2">
        <v>150.1</v>
      </c>
      <c r="U224" s="2" t="s">
        <v>32</v>
      </c>
      <c r="V224" s="2">
        <v>146.4</v>
      </c>
      <c r="W224" s="2">
        <v>150</v>
      </c>
      <c r="X224" s="2">
        <v>150.4</v>
      </c>
      <c r="Y224" s="2">
        <v>129.9</v>
      </c>
      <c r="Z224" s="2">
        <v>143.80000000000001</v>
      </c>
      <c r="AA224" s="2">
        <v>155.5</v>
      </c>
      <c r="AB224" s="2">
        <v>134</v>
      </c>
      <c r="AC224" s="2">
        <v>142.4</v>
      </c>
      <c r="AD224" s="2">
        <v>141.19999999999999</v>
      </c>
    </row>
    <row r="225" spans="1:30" x14ac:dyDescent="0.35">
      <c r="A225" s="2" t="s">
        <v>33</v>
      </c>
      <c r="B225" s="2">
        <v>2019</v>
      </c>
      <c r="C225" s="2" t="s">
        <v>38</v>
      </c>
      <c r="D225" s="2">
        <v>139.69999999999999</v>
      </c>
      <c r="E225" s="2">
        <v>151.1</v>
      </c>
      <c r="F225" s="2">
        <v>142.9</v>
      </c>
      <c r="G225" s="2">
        <v>141.9</v>
      </c>
      <c r="H225" s="2">
        <v>118.4</v>
      </c>
      <c r="I225" s="2">
        <v>139.4</v>
      </c>
      <c r="J225" s="2">
        <v>141.19999999999999</v>
      </c>
      <c r="K225" s="2">
        <v>120.7</v>
      </c>
      <c r="L225" s="2">
        <v>110.4</v>
      </c>
      <c r="M225" s="2">
        <v>140.69999999999999</v>
      </c>
      <c r="N225" s="2">
        <v>128.5</v>
      </c>
      <c r="O225" s="2">
        <v>153.9</v>
      </c>
      <c r="P225" s="2">
        <v>139.6</v>
      </c>
      <c r="Q225" s="2">
        <v>165.3</v>
      </c>
      <c r="R225" s="2">
        <v>143.5</v>
      </c>
      <c r="S225" s="2">
        <v>131.19999999999999</v>
      </c>
      <c r="T225" s="2">
        <v>141.6</v>
      </c>
      <c r="U225" s="2" t="s">
        <v>118</v>
      </c>
      <c r="V225" s="2">
        <v>128.80000000000001</v>
      </c>
      <c r="W225" s="2">
        <v>136.80000000000001</v>
      </c>
      <c r="X225" s="2">
        <v>139.19999999999999</v>
      </c>
      <c r="Y225" s="2">
        <v>119.9</v>
      </c>
      <c r="Z225" s="2">
        <v>133</v>
      </c>
      <c r="AA225" s="2">
        <v>146.69999999999999</v>
      </c>
      <c r="AB225" s="2">
        <v>132.5</v>
      </c>
      <c r="AC225" s="2">
        <v>132.80000000000001</v>
      </c>
      <c r="AD225" s="2">
        <v>139.5</v>
      </c>
    </row>
    <row r="226" spans="1:30" x14ac:dyDescent="0.35">
      <c r="A226" s="2" t="s">
        <v>35</v>
      </c>
      <c r="B226" s="2">
        <v>2019</v>
      </c>
      <c r="C226" s="2" t="s">
        <v>38</v>
      </c>
      <c r="D226" s="2">
        <v>137.80000000000001</v>
      </c>
      <c r="E226" s="2">
        <v>153</v>
      </c>
      <c r="F226" s="2">
        <v>140.30000000000001</v>
      </c>
      <c r="G226" s="2">
        <v>142.30000000000001</v>
      </c>
      <c r="H226" s="2">
        <v>122</v>
      </c>
      <c r="I226" s="2">
        <v>137.6</v>
      </c>
      <c r="J226" s="2">
        <v>132.6</v>
      </c>
      <c r="K226" s="2">
        <v>121.8</v>
      </c>
      <c r="L226" s="2">
        <v>109</v>
      </c>
      <c r="M226" s="2">
        <v>139.5</v>
      </c>
      <c r="N226" s="2">
        <v>133.69999999999999</v>
      </c>
      <c r="O226" s="2">
        <v>155.19999999999999</v>
      </c>
      <c r="P226" s="2">
        <v>138.1</v>
      </c>
      <c r="Q226" s="2">
        <v>163.5</v>
      </c>
      <c r="R226" s="2">
        <v>147.9</v>
      </c>
      <c r="S226" s="2">
        <v>139.9</v>
      </c>
      <c r="T226" s="2">
        <v>146.69999999999999</v>
      </c>
      <c r="U226" s="2" t="s">
        <v>118</v>
      </c>
      <c r="V226" s="2">
        <v>139.69999999999999</v>
      </c>
      <c r="W226" s="2">
        <v>143.80000000000001</v>
      </c>
      <c r="X226" s="2">
        <v>146.19999999999999</v>
      </c>
      <c r="Y226" s="2">
        <v>124.6</v>
      </c>
      <c r="Z226" s="2">
        <v>137.69999999999999</v>
      </c>
      <c r="AA226" s="2">
        <v>150.30000000000001</v>
      </c>
      <c r="AB226" s="2">
        <v>133.4</v>
      </c>
      <c r="AC226" s="2">
        <v>137.69999999999999</v>
      </c>
      <c r="AD226" s="2">
        <v>140.4</v>
      </c>
    </row>
    <row r="227" spans="1:30" x14ac:dyDescent="0.35">
      <c r="A227" s="2" t="s">
        <v>30</v>
      </c>
      <c r="B227" s="2">
        <v>2019</v>
      </c>
      <c r="C227" s="2" t="s">
        <v>41</v>
      </c>
      <c r="D227" s="2">
        <v>137.4</v>
      </c>
      <c r="E227" s="2">
        <v>159.5</v>
      </c>
      <c r="F227" s="2">
        <v>134.5</v>
      </c>
      <c r="G227" s="2">
        <v>142.6</v>
      </c>
      <c r="H227" s="2">
        <v>124</v>
      </c>
      <c r="I227" s="2">
        <v>143.69999999999999</v>
      </c>
      <c r="J227" s="2">
        <v>133.4</v>
      </c>
      <c r="K227" s="2">
        <v>125.1</v>
      </c>
      <c r="L227" s="2">
        <v>109.3</v>
      </c>
      <c r="M227" s="2">
        <v>139.30000000000001</v>
      </c>
      <c r="N227" s="2">
        <v>137.69999999999999</v>
      </c>
      <c r="O227" s="2">
        <v>156.4</v>
      </c>
      <c r="P227" s="2">
        <v>139.19999999999999</v>
      </c>
      <c r="Q227" s="2">
        <v>163.30000000000001</v>
      </c>
      <c r="R227" s="2">
        <v>151.30000000000001</v>
      </c>
      <c r="S227" s="2">
        <v>146.6</v>
      </c>
      <c r="T227" s="2">
        <v>150.69999999999999</v>
      </c>
      <c r="U227" s="2" t="s">
        <v>32</v>
      </c>
      <c r="V227" s="2">
        <v>146.9</v>
      </c>
      <c r="W227" s="2">
        <v>149.5</v>
      </c>
      <c r="X227" s="2">
        <v>151.30000000000001</v>
      </c>
      <c r="Y227" s="2">
        <v>130.19999999999999</v>
      </c>
      <c r="Z227" s="2">
        <v>145.9</v>
      </c>
      <c r="AA227" s="2">
        <v>156.69999999999999</v>
      </c>
      <c r="AB227" s="2">
        <v>133.9</v>
      </c>
      <c r="AC227" s="2">
        <v>142.9</v>
      </c>
      <c r="AD227" s="2">
        <v>142.4</v>
      </c>
    </row>
    <row r="228" spans="1:30" x14ac:dyDescent="0.35">
      <c r="A228" s="2" t="s">
        <v>33</v>
      </c>
      <c r="B228" s="2">
        <v>2019</v>
      </c>
      <c r="C228" s="2" t="s">
        <v>41</v>
      </c>
      <c r="D228" s="2">
        <v>140.4</v>
      </c>
      <c r="E228" s="2">
        <v>156.69999999999999</v>
      </c>
      <c r="F228" s="2">
        <v>138.30000000000001</v>
      </c>
      <c r="G228" s="2">
        <v>142.4</v>
      </c>
      <c r="H228" s="2">
        <v>118.6</v>
      </c>
      <c r="I228" s="2">
        <v>149.69999999999999</v>
      </c>
      <c r="J228" s="2">
        <v>161.6</v>
      </c>
      <c r="K228" s="2">
        <v>124.4</v>
      </c>
      <c r="L228" s="2">
        <v>111.2</v>
      </c>
      <c r="M228" s="2">
        <v>141</v>
      </c>
      <c r="N228" s="2">
        <v>128.9</v>
      </c>
      <c r="O228" s="2">
        <v>154.5</v>
      </c>
      <c r="P228" s="2">
        <v>143.80000000000001</v>
      </c>
      <c r="Q228" s="2">
        <v>166.2</v>
      </c>
      <c r="R228" s="2">
        <v>144</v>
      </c>
      <c r="S228" s="2">
        <v>131.69999999999999</v>
      </c>
      <c r="T228" s="2">
        <v>142.19999999999999</v>
      </c>
      <c r="U228" s="2" t="s">
        <v>119</v>
      </c>
      <c r="V228" s="2">
        <v>129.4</v>
      </c>
      <c r="W228" s="2">
        <v>137.19999999999999</v>
      </c>
      <c r="X228" s="2">
        <v>139.80000000000001</v>
      </c>
      <c r="Y228" s="2">
        <v>120.1</v>
      </c>
      <c r="Z228" s="2">
        <v>134</v>
      </c>
      <c r="AA228" s="2">
        <v>148</v>
      </c>
      <c r="AB228" s="2">
        <v>132.6</v>
      </c>
      <c r="AC228" s="2">
        <v>133.30000000000001</v>
      </c>
      <c r="AD228" s="2">
        <v>141.5</v>
      </c>
    </row>
    <row r="229" spans="1:30" x14ac:dyDescent="0.35">
      <c r="A229" s="2" t="s">
        <v>35</v>
      </c>
      <c r="B229" s="2">
        <v>2019</v>
      </c>
      <c r="C229" s="2" t="s">
        <v>41</v>
      </c>
      <c r="D229" s="2">
        <v>138.30000000000001</v>
      </c>
      <c r="E229" s="2">
        <v>158.5</v>
      </c>
      <c r="F229" s="2">
        <v>136</v>
      </c>
      <c r="G229" s="2">
        <v>142.5</v>
      </c>
      <c r="H229" s="2">
        <v>122</v>
      </c>
      <c r="I229" s="2">
        <v>146.5</v>
      </c>
      <c r="J229" s="2">
        <v>143</v>
      </c>
      <c r="K229" s="2">
        <v>124.9</v>
      </c>
      <c r="L229" s="2">
        <v>109.9</v>
      </c>
      <c r="M229" s="2">
        <v>139.9</v>
      </c>
      <c r="N229" s="2">
        <v>134</v>
      </c>
      <c r="O229" s="2">
        <v>155.5</v>
      </c>
      <c r="P229" s="2">
        <v>140.9</v>
      </c>
      <c r="Q229" s="2">
        <v>164.1</v>
      </c>
      <c r="R229" s="2">
        <v>148.4</v>
      </c>
      <c r="S229" s="2">
        <v>140.4</v>
      </c>
      <c r="T229" s="2">
        <v>147.30000000000001</v>
      </c>
      <c r="U229" s="2" t="s">
        <v>119</v>
      </c>
      <c r="V229" s="2">
        <v>140.30000000000001</v>
      </c>
      <c r="W229" s="2">
        <v>143.69999999999999</v>
      </c>
      <c r="X229" s="2">
        <v>146.9</v>
      </c>
      <c r="Y229" s="2">
        <v>124.9</v>
      </c>
      <c r="Z229" s="2">
        <v>139.19999999999999</v>
      </c>
      <c r="AA229" s="2">
        <v>151.6</v>
      </c>
      <c r="AB229" s="2">
        <v>133.4</v>
      </c>
      <c r="AC229" s="2">
        <v>138.19999999999999</v>
      </c>
      <c r="AD229" s="2">
        <v>142</v>
      </c>
    </row>
    <row r="230" spans="1:30" x14ac:dyDescent="0.35">
      <c r="A230" s="2" t="s">
        <v>30</v>
      </c>
      <c r="B230" s="2">
        <v>2019</v>
      </c>
      <c r="C230" s="2" t="s">
        <v>42</v>
      </c>
      <c r="D230" s="2">
        <v>137.80000000000001</v>
      </c>
      <c r="E230" s="2">
        <v>163.5</v>
      </c>
      <c r="F230" s="2">
        <v>136.19999999999999</v>
      </c>
      <c r="G230" s="2">
        <v>143.19999999999999</v>
      </c>
      <c r="H230" s="2">
        <v>124.3</v>
      </c>
      <c r="I230" s="2">
        <v>143.30000000000001</v>
      </c>
      <c r="J230" s="2">
        <v>140.6</v>
      </c>
      <c r="K230" s="2">
        <v>128.69999999999999</v>
      </c>
      <c r="L230" s="2">
        <v>110.6</v>
      </c>
      <c r="M230" s="2">
        <v>140.4</v>
      </c>
      <c r="N230" s="2">
        <v>138</v>
      </c>
      <c r="O230" s="2">
        <v>156.6</v>
      </c>
      <c r="P230" s="2">
        <v>141</v>
      </c>
      <c r="Q230" s="2">
        <v>164.2</v>
      </c>
      <c r="R230" s="2">
        <v>151.4</v>
      </c>
      <c r="S230" s="2">
        <v>146.5</v>
      </c>
      <c r="T230" s="2">
        <v>150.69999999999999</v>
      </c>
      <c r="U230" s="2" t="s">
        <v>32</v>
      </c>
      <c r="V230" s="2">
        <v>147.80000000000001</v>
      </c>
      <c r="W230" s="2">
        <v>149.6</v>
      </c>
      <c r="X230" s="2">
        <v>151.69999999999999</v>
      </c>
      <c r="Y230" s="2">
        <v>130.19999999999999</v>
      </c>
      <c r="Z230" s="2">
        <v>146.4</v>
      </c>
      <c r="AA230" s="2">
        <v>157.69999999999999</v>
      </c>
      <c r="AB230" s="2">
        <v>134.80000000000001</v>
      </c>
      <c r="AC230" s="2">
        <v>143.30000000000001</v>
      </c>
      <c r="AD230" s="2">
        <v>143.6</v>
      </c>
    </row>
    <row r="231" spans="1:30" x14ac:dyDescent="0.35">
      <c r="A231" s="2" t="s">
        <v>33</v>
      </c>
      <c r="B231" s="2">
        <v>2019</v>
      </c>
      <c r="C231" s="2" t="s">
        <v>42</v>
      </c>
      <c r="D231" s="2">
        <v>140.69999999999999</v>
      </c>
      <c r="E231" s="2">
        <v>159.6</v>
      </c>
      <c r="F231" s="2">
        <v>140.4</v>
      </c>
      <c r="G231" s="2">
        <v>143.4</v>
      </c>
      <c r="H231" s="2">
        <v>118.6</v>
      </c>
      <c r="I231" s="2">
        <v>150.9</v>
      </c>
      <c r="J231" s="2">
        <v>169.8</v>
      </c>
      <c r="K231" s="2">
        <v>127.4</v>
      </c>
      <c r="L231" s="2">
        <v>111.8</v>
      </c>
      <c r="M231" s="2">
        <v>141</v>
      </c>
      <c r="N231" s="2">
        <v>129</v>
      </c>
      <c r="O231" s="2">
        <v>155.1</v>
      </c>
      <c r="P231" s="2">
        <v>145.6</v>
      </c>
      <c r="Q231" s="2">
        <v>166.7</v>
      </c>
      <c r="R231" s="2">
        <v>144.30000000000001</v>
      </c>
      <c r="S231" s="2">
        <v>131.69999999999999</v>
      </c>
      <c r="T231" s="2">
        <v>142.4</v>
      </c>
      <c r="U231" s="2" t="s">
        <v>120</v>
      </c>
      <c r="V231" s="2">
        <v>130.5</v>
      </c>
      <c r="W231" s="2">
        <v>137.4</v>
      </c>
      <c r="X231" s="2">
        <v>140.30000000000001</v>
      </c>
      <c r="Y231" s="2">
        <v>119.6</v>
      </c>
      <c r="Z231" s="2">
        <v>134.30000000000001</v>
      </c>
      <c r="AA231" s="2">
        <v>148.9</v>
      </c>
      <c r="AB231" s="2">
        <v>133.69999999999999</v>
      </c>
      <c r="AC231" s="2">
        <v>133.6</v>
      </c>
      <c r="AD231" s="2">
        <v>142.1</v>
      </c>
    </row>
    <row r="232" spans="1:30" x14ac:dyDescent="0.35">
      <c r="A232" s="2" t="s">
        <v>35</v>
      </c>
      <c r="B232" s="2">
        <v>2019</v>
      </c>
      <c r="C232" s="2" t="s">
        <v>42</v>
      </c>
      <c r="D232" s="2">
        <v>138.69999999999999</v>
      </c>
      <c r="E232" s="2">
        <v>162.1</v>
      </c>
      <c r="F232" s="2">
        <v>137.80000000000001</v>
      </c>
      <c r="G232" s="2">
        <v>143.30000000000001</v>
      </c>
      <c r="H232" s="2">
        <v>122.2</v>
      </c>
      <c r="I232" s="2">
        <v>146.80000000000001</v>
      </c>
      <c r="J232" s="2">
        <v>150.5</v>
      </c>
      <c r="K232" s="2">
        <v>128.30000000000001</v>
      </c>
      <c r="L232" s="2">
        <v>111</v>
      </c>
      <c r="M232" s="2">
        <v>140.6</v>
      </c>
      <c r="N232" s="2">
        <v>134.19999999999999</v>
      </c>
      <c r="O232" s="2">
        <v>155.9</v>
      </c>
      <c r="P232" s="2">
        <v>142.69999999999999</v>
      </c>
      <c r="Q232" s="2">
        <v>164.9</v>
      </c>
      <c r="R232" s="2">
        <v>148.6</v>
      </c>
      <c r="S232" s="2">
        <v>140.4</v>
      </c>
      <c r="T232" s="2">
        <v>147.4</v>
      </c>
      <c r="U232" s="2" t="s">
        <v>120</v>
      </c>
      <c r="V232" s="2">
        <v>141.19999999999999</v>
      </c>
      <c r="W232" s="2">
        <v>143.80000000000001</v>
      </c>
      <c r="X232" s="2">
        <v>147.4</v>
      </c>
      <c r="Y232" s="2">
        <v>124.6</v>
      </c>
      <c r="Z232" s="2">
        <v>139.6</v>
      </c>
      <c r="AA232" s="2">
        <v>152.5</v>
      </c>
      <c r="AB232" s="2">
        <v>134.30000000000001</v>
      </c>
      <c r="AC232" s="2">
        <v>138.6</v>
      </c>
      <c r="AD232" s="2">
        <v>142.9</v>
      </c>
    </row>
    <row r="233" spans="1:30" x14ac:dyDescent="0.35">
      <c r="A233" s="2" t="s">
        <v>30</v>
      </c>
      <c r="B233" s="2">
        <v>2019</v>
      </c>
      <c r="C233" s="2" t="s">
        <v>44</v>
      </c>
      <c r="D233" s="2">
        <v>138.4</v>
      </c>
      <c r="E233" s="2">
        <v>164</v>
      </c>
      <c r="F233" s="2">
        <v>138.4</v>
      </c>
      <c r="G233" s="2">
        <v>143.9</v>
      </c>
      <c r="H233" s="2">
        <v>124.4</v>
      </c>
      <c r="I233" s="2">
        <v>146.4</v>
      </c>
      <c r="J233" s="2">
        <v>150.1</v>
      </c>
      <c r="K233" s="2">
        <v>130.6</v>
      </c>
      <c r="L233" s="2">
        <v>110.8</v>
      </c>
      <c r="M233" s="2">
        <v>141.69999999999999</v>
      </c>
      <c r="N233" s="2">
        <v>138.5</v>
      </c>
      <c r="O233" s="2">
        <v>156.69999999999999</v>
      </c>
      <c r="P233" s="2">
        <v>143</v>
      </c>
      <c r="Q233" s="2">
        <v>164.5</v>
      </c>
      <c r="R233" s="2">
        <v>151.6</v>
      </c>
      <c r="S233" s="2">
        <v>146.6</v>
      </c>
      <c r="T233" s="2">
        <v>150.9</v>
      </c>
      <c r="U233" s="2" t="s">
        <v>32</v>
      </c>
      <c r="V233" s="2">
        <v>146.80000000000001</v>
      </c>
      <c r="W233" s="2">
        <v>150</v>
      </c>
      <c r="X233" s="2">
        <v>152.19999999999999</v>
      </c>
      <c r="Y233" s="2">
        <v>131.19999999999999</v>
      </c>
      <c r="Z233" s="2">
        <v>147.5</v>
      </c>
      <c r="AA233" s="2">
        <v>159.1</v>
      </c>
      <c r="AB233" s="2">
        <v>136.1</v>
      </c>
      <c r="AC233" s="2">
        <v>144.19999999999999</v>
      </c>
      <c r="AD233" s="2">
        <v>144.9</v>
      </c>
    </row>
    <row r="234" spans="1:30" x14ac:dyDescent="0.35">
      <c r="A234" s="2" t="s">
        <v>33</v>
      </c>
      <c r="B234" s="2">
        <v>2019</v>
      </c>
      <c r="C234" s="2" t="s">
        <v>44</v>
      </c>
      <c r="D234" s="2">
        <v>141.4</v>
      </c>
      <c r="E234" s="2">
        <v>160.19999999999999</v>
      </c>
      <c r="F234" s="2">
        <v>142.5</v>
      </c>
      <c r="G234" s="2">
        <v>144.1</v>
      </c>
      <c r="H234" s="2">
        <v>119.3</v>
      </c>
      <c r="I234" s="2">
        <v>154.69999999999999</v>
      </c>
      <c r="J234" s="2">
        <v>180.1</v>
      </c>
      <c r="K234" s="2">
        <v>128.9</v>
      </c>
      <c r="L234" s="2">
        <v>111.8</v>
      </c>
      <c r="M234" s="2">
        <v>141.6</v>
      </c>
      <c r="N234" s="2">
        <v>129.5</v>
      </c>
      <c r="O234" s="2">
        <v>155.6</v>
      </c>
      <c r="P234" s="2">
        <v>147.69999999999999</v>
      </c>
      <c r="Q234" s="2">
        <v>167.2</v>
      </c>
      <c r="R234" s="2">
        <v>144.69999999999999</v>
      </c>
      <c r="S234" s="2">
        <v>131.9</v>
      </c>
      <c r="T234" s="2">
        <v>142.69999999999999</v>
      </c>
      <c r="U234" s="2" t="s">
        <v>121</v>
      </c>
      <c r="V234" s="2">
        <v>127</v>
      </c>
      <c r="W234" s="2">
        <v>137.69999999999999</v>
      </c>
      <c r="X234" s="2">
        <v>140.80000000000001</v>
      </c>
      <c r="Y234" s="2">
        <v>120.6</v>
      </c>
      <c r="Z234" s="2">
        <v>135</v>
      </c>
      <c r="AA234" s="2">
        <v>150.4</v>
      </c>
      <c r="AB234" s="2">
        <v>135.1</v>
      </c>
      <c r="AC234" s="2">
        <v>134.5</v>
      </c>
      <c r="AD234" s="2">
        <v>143.30000000000001</v>
      </c>
    </row>
    <row r="235" spans="1:30" x14ac:dyDescent="0.35">
      <c r="A235" s="2" t="s">
        <v>35</v>
      </c>
      <c r="B235" s="2">
        <v>2019</v>
      </c>
      <c r="C235" s="2" t="s">
        <v>44</v>
      </c>
      <c r="D235" s="2">
        <v>139.30000000000001</v>
      </c>
      <c r="E235" s="2">
        <v>162.69999999999999</v>
      </c>
      <c r="F235" s="2">
        <v>140</v>
      </c>
      <c r="G235" s="2">
        <v>144</v>
      </c>
      <c r="H235" s="2">
        <v>122.5</v>
      </c>
      <c r="I235" s="2">
        <v>150.30000000000001</v>
      </c>
      <c r="J235" s="2">
        <v>160.30000000000001</v>
      </c>
      <c r="K235" s="2">
        <v>130</v>
      </c>
      <c r="L235" s="2">
        <v>111.1</v>
      </c>
      <c r="M235" s="2">
        <v>141.69999999999999</v>
      </c>
      <c r="N235" s="2">
        <v>134.69999999999999</v>
      </c>
      <c r="O235" s="2">
        <v>156.19999999999999</v>
      </c>
      <c r="P235" s="2">
        <v>144.69999999999999</v>
      </c>
      <c r="Q235" s="2">
        <v>165.2</v>
      </c>
      <c r="R235" s="2">
        <v>148.9</v>
      </c>
      <c r="S235" s="2">
        <v>140.5</v>
      </c>
      <c r="T235" s="2">
        <v>147.6</v>
      </c>
      <c r="U235" s="2" t="s">
        <v>121</v>
      </c>
      <c r="V235" s="2">
        <v>139.30000000000001</v>
      </c>
      <c r="W235" s="2">
        <v>144.19999999999999</v>
      </c>
      <c r="X235" s="2">
        <v>147.9</v>
      </c>
      <c r="Y235" s="2">
        <v>125.6</v>
      </c>
      <c r="Z235" s="2">
        <v>140.5</v>
      </c>
      <c r="AA235" s="2">
        <v>154</v>
      </c>
      <c r="AB235" s="2">
        <v>135.69999999999999</v>
      </c>
      <c r="AC235" s="2">
        <v>139.5</v>
      </c>
      <c r="AD235" s="2">
        <v>144.19999999999999</v>
      </c>
    </row>
    <row r="236" spans="1:30" x14ac:dyDescent="0.35">
      <c r="A236" s="2" t="s">
        <v>30</v>
      </c>
      <c r="B236" s="2">
        <v>2019</v>
      </c>
      <c r="C236" s="2" t="s">
        <v>46</v>
      </c>
      <c r="D236" s="2">
        <v>139.19999999999999</v>
      </c>
      <c r="E236" s="2">
        <v>161.9</v>
      </c>
      <c r="F236" s="2">
        <v>137.1</v>
      </c>
      <c r="G236" s="2">
        <v>144.6</v>
      </c>
      <c r="H236" s="2">
        <v>124.7</v>
      </c>
      <c r="I236" s="2">
        <v>145.5</v>
      </c>
      <c r="J236" s="2">
        <v>156.19999999999999</v>
      </c>
      <c r="K236" s="2">
        <v>131.5</v>
      </c>
      <c r="L236" s="2">
        <v>111.7</v>
      </c>
      <c r="M236" s="2">
        <v>142.69999999999999</v>
      </c>
      <c r="N236" s="2">
        <v>138.5</v>
      </c>
      <c r="O236" s="2">
        <v>156.9</v>
      </c>
      <c r="P236" s="2">
        <v>144</v>
      </c>
      <c r="Q236" s="2">
        <v>165.1</v>
      </c>
      <c r="R236" s="2">
        <v>151.80000000000001</v>
      </c>
      <c r="S236" s="2">
        <v>146.6</v>
      </c>
      <c r="T236" s="2">
        <v>151.1</v>
      </c>
      <c r="U236" s="2" t="s">
        <v>32</v>
      </c>
      <c r="V236" s="2">
        <v>146.4</v>
      </c>
      <c r="W236" s="2">
        <v>150.19999999999999</v>
      </c>
      <c r="X236" s="2">
        <v>152.69999999999999</v>
      </c>
      <c r="Y236" s="2">
        <v>131.4</v>
      </c>
      <c r="Z236" s="2">
        <v>148</v>
      </c>
      <c r="AA236" s="2">
        <v>159.69999999999999</v>
      </c>
      <c r="AB236" s="2">
        <v>138.80000000000001</v>
      </c>
      <c r="AC236" s="2">
        <v>144.9</v>
      </c>
      <c r="AD236" s="2">
        <v>145.69999999999999</v>
      </c>
    </row>
    <row r="237" spans="1:30" x14ac:dyDescent="0.35">
      <c r="A237" s="2" t="s">
        <v>33</v>
      </c>
      <c r="B237" s="2">
        <v>2019</v>
      </c>
      <c r="C237" s="2" t="s">
        <v>46</v>
      </c>
      <c r="D237" s="2">
        <v>142.1</v>
      </c>
      <c r="E237" s="2">
        <v>158.30000000000001</v>
      </c>
      <c r="F237" s="2">
        <v>140.80000000000001</v>
      </c>
      <c r="G237" s="2">
        <v>144.9</v>
      </c>
      <c r="H237" s="2">
        <v>119.9</v>
      </c>
      <c r="I237" s="2">
        <v>153.9</v>
      </c>
      <c r="J237" s="2">
        <v>189.1</v>
      </c>
      <c r="K237" s="2">
        <v>129.80000000000001</v>
      </c>
      <c r="L237" s="2">
        <v>112.7</v>
      </c>
      <c r="M237" s="2">
        <v>142.5</v>
      </c>
      <c r="N237" s="2">
        <v>129.80000000000001</v>
      </c>
      <c r="O237" s="2">
        <v>156.19999999999999</v>
      </c>
      <c r="P237" s="2">
        <v>149.1</v>
      </c>
      <c r="Q237" s="2">
        <v>167.9</v>
      </c>
      <c r="R237" s="2">
        <v>145</v>
      </c>
      <c r="S237" s="2">
        <v>132.19999999999999</v>
      </c>
      <c r="T237" s="2">
        <v>143</v>
      </c>
      <c r="U237" s="2" t="s">
        <v>122</v>
      </c>
      <c r="V237" s="2">
        <v>125.5</v>
      </c>
      <c r="W237" s="2">
        <v>138.1</v>
      </c>
      <c r="X237" s="2">
        <v>141.5</v>
      </c>
      <c r="Y237" s="2">
        <v>120.8</v>
      </c>
      <c r="Z237" s="2">
        <v>135.4</v>
      </c>
      <c r="AA237" s="2">
        <v>151.5</v>
      </c>
      <c r="AB237" s="2">
        <v>137.80000000000001</v>
      </c>
      <c r="AC237" s="2">
        <v>135.30000000000001</v>
      </c>
      <c r="AD237" s="2">
        <v>144.19999999999999</v>
      </c>
    </row>
    <row r="238" spans="1:30" x14ac:dyDescent="0.35">
      <c r="A238" s="2" t="s">
        <v>35</v>
      </c>
      <c r="B238" s="2">
        <v>2019</v>
      </c>
      <c r="C238" s="2" t="s">
        <v>46</v>
      </c>
      <c r="D238" s="2">
        <v>140.1</v>
      </c>
      <c r="E238" s="2">
        <v>160.6</v>
      </c>
      <c r="F238" s="2">
        <v>138.5</v>
      </c>
      <c r="G238" s="2">
        <v>144.69999999999999</v>
      </c>
      <c r="H238" s="2">
        <v>122.9</v>
      </c>
      <c r="I238" s="2">
        <v>149.4</v>
      </c>
      <c r="J238" s="2">
        <v>167.4</v>
      </c>
      <c r="K238" s="2">
        <v>130.9</v>
      </c>
      <c r="L238" s="2">
        <v>112</v>
      </c>
      <c r="M238" s="2">
        <v>142.6</v>
      </c>
      <c r="N238" s="2">
        <v>134.9</v>
      </c>
      <c r="O238" s="2">
        <v>156.6</v>
      </c>
      <c r="P238" s="2">
        <v>145.9</v>
      </c>
      <c r="Q238" s="2">
        <v>165.8</v>
      </c>
      <c r="R238" s="2">
        <v>149.1</v>
      </c>
      <c r="S238" s="2">
        <v>140.6</v>
      </c>
      <c r="T238" s="2">
        <v>147.9</v>
      </c>
      <c r="U238" s="2" t="s">
        <v>122</v>
      </c>
      <c r="V238" s="2">
        <v>138.5</v>
      </c>
      <c r="W238" s="2">
        <v>144.5</v>
      </c>
      <c r="X238" s="2">
        <v>148.5</v>
      </c>
      <c r="Y238" s="2">
        <v>125.8</v>
      </c>
      <c r="Z238" s="2">
        <v>140.9</v>
      </c>
      <c r="AA238" s="2">
        <v>154.9</v>
      </c>
      <c r="AB238" s="2">
        <v>138.4</v>
      </c>
      <c r="AC238" s="2">
        <v>140.19999999999999</v>
      </c>
      <c r="AD238" s="2">
        <v>145</v>
      </c>
    </row>
    <row r="239" spans="1:30" x14ac:dyDescent="0.35">
      <c r="A239" s="2" t="s">
        <v>30</v>
      </c>
      <c r="B239" s="2">
        <v>2019</v>
      </c>
      <c r="C239" s="2" t="s">
        <v>48</v>
      </c>
      <c r="D239" s="2">
        <v>140.1</v>
      </c>
      <c r="E239" s="2">
        <v>161.9</v>
      </c>
      <c r="F239" s="2">
        <v>138.30000000000001</v>
      </c>
      <c r="G239" s="2">
        <v>145.69999999999999</v>
      </c>
      <c r="H239" s="2">
        <v>125.1</v>
      </c>
      <c r="I239" s="2">
        <v>143.80000000000001</v>
      </c>
      <c r="J239" s="2">
        <v>163.4</v>
      </c>
      <c r="K239" s="2">
        <v>132.19999999999999</v>
      </c>
      <c r="L239" s="2">
        <v>112.8</v>
      </c>
      <c r="M239" s="2">
        <v>144.19999999999999</v>
      </c>
      <c r="N239" s="2">
        <v>138.5</v>
      </c>
      <c r="O239" s="2">
        <v>157.19999999999999</v>
      </c>
      <c r="P239" s="2">
        <v>145.5</v>
      </c>
      <c r="Q239" s="2">
        <v>165.7</v>
      </c>
      <c r="R239" s="2">
        <v>151.69999999999999</v>
      </c>
      <c r="S239" s="2">
        <v>146.6</v>
      </c>
      <c r="T239" s="2">
        <v>151</v>
      </c>
      <c r="U239" s="2" t="s">
        <v>32</v>
      </c>
      <c r="V239" s="2">
        <v>146.9</v>
      </c>
      <c r="W239" s="2">
        <v>150.30000000000001</v>
      </c>
      <c r="X239" s="2">
        <v>153.4</v>
      </c>
      <c r="Y239" s="2">
        <v>131.6</v>
      </c>
      <c r="Z239" s="2">
        <v>148.30000000000001</v>
      </c>
      <c r="AA239" s="2">
        <v>160.19999999999999</v>
      </c>
      <c r="AB239" s="2">
        <v>140.19999999999999</v>
      </c>
      <c r="AC239" s="2">
        <v>145.4</v>
      </c>
      <c r="AD239" s="2">
        <v>146.69999999999999</v>
      </c>
    </row>
    <row r="240" spans="1:30" x14ac:dyDescent="0.35">
      <c r="A240" s="2" t="s">
        <v>33</v>
      </c>
      <c r="B240" s="2">
        <v>2019</v>
      </c>
      <c r="C240" s="2" t="s">
        <v>48</v>
      </c>
      <c r="D240" s="2">
        <v>142.69999999999999</v>
      </c>
      <c r="E240" s="2">
        <v>158.69999999999999</v>
      </c>
      <c r="F240" s="2">
        <v>141.6</v>
      </c>
      <c r="G240" s="2">
        <v>144.9</v>
      </c>
      <c r="H240" s="2">
        <v>120.8</v>
      </c>
      <c r="I240" s="2">
        <v>149.80000000000001</v>
      </c>
      <c r="J240" s="2">
        <v>192.4</v>
      </c>
      <c r="K240" s="2">
        <v>130.30000000000001</v>
      </c>
      <c r="L240" s="2">
        <v>114</v>
      </c>
      <c r="M240" s="2">
        <v>143.80000000000001</v>
      </c>
      <c r="N240" s="2">
        <v>130</v>
      </c>
      <c r="O240" s="2">
        <v>156.4</v>
      </c>
      <c r="P240" s="2">
        <v>149.5</v>
      </c>
      <c r="Q240" s="2">
        <v>168.6</v>
      </c>
      <c r="R240" s="2">
        <v>145.30000000000001</v>
      </c>
      <c r="S240" s="2">
        <v>132.19999999999999</v>
      </c>
      <c r="T240" s="2">
        <v>143.30000000000001</v>
      </c>
      <c r="U240" s="2" t="s">
        <v>123</v>
      </c>
      <c r="V240" s="2">
        <v>126.6</v>
      </c>
      <c r="W240" s="2">
        <v>138.30000000000001</v>
      </c>
      <c r="X240" s="2">
        <v>141.9</v>
      </c>
      <c r="Y240" s="2">
        <v>121.2</v>
      </c>
      <c r="Z240" s="2">
        <v>135.9</v>
      </c>
      <c r="AA240" s="2">
        <v>151.6</v>
      </c>
      <c r="AB240" s="2">
        <v>139</v>
      </c>
      <c r="AC240" s="2">
        <v>135.69999999999999</v>
      </c>
      <c r="AD240" s="2">
        <v>144.69999999999999</v>
      </c>
    </row>
    <row r="241" spans="1:30" x14ac:dyDescent="0.35">
      <c r="A241" s="2" t="s">
        <v>35</v>
      </c>
      <c r="B241" s="2">
        <v>2019</v>
      </c>
      <c r="C241" s="2" t="s">
        <v>48</v>
      </c>
      <c r="D241" s="2">
        <v>140.9</v>
      </c>
      <c r="E241" s="2">
        <v>160.80000000000001</v>
      </c>
      <c r="F241" s="2">
        <v>139.6</v>
      </c>
      <c r="G241" s="2">
        <v>145.4</v>
      </c>
      <c r="H241" s="2">
        <v>123.5</v>
      </c>
      <c r="I241" s="2">
        <v>146.6</v>
      </c>
      <c r="J241" s="2">
        <v>173.2</v>
      </c>
      <c r="K241" s="2">
        <v>131.6</v>
      </c>
      <c r="L241" s="2">
        <v>113.2</v>
      </c>
      <c r="M241" s="2">
        <v>144.1</v>
      </c>
      <c r="N241" s="2">
        <v>135</v>
      </c>
      <c r="O241" s="2">
        <v>156.80000000000001</v>
      </c>
      <c r="P241" s="2">
        <v>147</v>
      </c>
      <c r="Q241" s="2">
        <v>166.5</v>
      </c>
      <c r="R241" s="2">
        <v>149.19999999999999</v>
      </c>
      <c r="S241" s="2">
        <v>140.6</v>
      </c>
      <c r="T241" s="2">
        <v>147.9</v>
      </c>
      <c r="U241" s="2" t="s">
        <v>123</v>
      </c>
      <c r="V241" s="2">
        <v>139.19999999999999</v>
      </c>
      <c r="W241" s="2">
        <v>144.6</v>
      </c>
      <c r="X241" s="2">
        <v>149</v>
      </c>
      <c r="Y241" s="2">
        <v>126.1</v>
      </c>
      <c r="Z241" s="2">
        <v>141.30000000000001</v>
      </c>
      <c r="AA241" s="2">
        <v>155.19999999999999</v>
      </c>
      <c r="AB241" s="2">
        <v>139.69999999999999</v>
      </c>
      <c r="AC241" s="2">
        <v>140.69999999999999</v>
      </c>
      <c r="AD241" s="2">
        <v>145.80000000000001</v>
      </c>
    </row>
    <row r="242" spans="1:30" x14ac:dyDescent="0.35">
      <c r="A242" s="2" t="s">
        <v>30</v>
      </c>
      <c r="B242" s="2">
        <v>2019</v>
      </c>
      <c r="C242" s="2" t="s">
        <v>50</v>
      </c>
      <c r="D242" s="2">
        <v>141</v>
      </c>
      <c r="E242" s="2">
        <v>161.6</v>
      </c>
      <c r="F242" s="2">
        <v>141.19999999999999</v>
      </c>
      <c r="G242" s="2">
        <v>146.5</v>
      </c>
      <c r="H242" s="2">
        <v>125.6</v>
      </c>
      <c r="I242" s="2">
        <v>145.69999999999999</v>
      </c>
      <c r="J242" s="2">
        <v>178.8</v>
      </c>
      <c r="K242" s="2">
        <v>133.1</v>
      </c>
      <c r="L242" s="2">
        <v>113.6</v>
      </c>
      <c r="M242" s="2">
        <v>145.5</v>
      </c>
      <c r="N242" s="2">
        <v>138.6</v>
      </c>
      <c r="O242" s="2">
        <v>157.4</v>
      </c>
      <c r="P242" s="2">
        <v>148.30000000000001</v>
      </c>
      <c r="Q242" s="2">
        <v>166.3</v>
      </c>
      <c r="R242" s="2">
        <v>151.69999999999999</v>
      </c>
      <c r="S242" s="2">
        <v>146.69999999999999</v>
      </c>
      <c r="T242" s="2">
        <v>151</v>
      </c>
      <c r="U242" s="2" t="s">
        <v>32</v>
      </c>
      <c r="V242" s="2">
        <v>147.69999999999999</v>
      </c>
      <c r="W242" s="2">
        <v>150.6</v>
      </c>
      <c r="X242" s="2">
        <v>153.69999999999999</v>
      </c>
      <c r="Y242" s="2">
        <v>131.69999999999999</v>
      </c>
      <c r="Z242" s="2">
        <v>148.69999999999999</v>
      </c>
      <c r="AA242" s="2">
        <v>160.69999999999999</v>
      </c>
      <c r="AB242" s="2">
        <v>140.30000000000001</v>
      </c>
      <c r="AC242" s="2">
        <v>145.69999999999999</v>
      </c>
      <c r="AD242" s="2">
        <v>148.30000000000001</v>
      </c>
    </row>
    <row r="243" spans="1:30" x14ac:dyDescent="0.35">
      <c r="A243" s="2" t="s">
        <v>33</v>
      </c>
      <c r="B243" s="2">
        <v>2019</v>
      </c>
      <c r="C243" s="2" t="s">
        <v>50</v>
      </c>
      <c r="D243" s="2">
        <v>143.5</v>
      </c>
      <c r="E243" s="2">
        <v>159.80000000000001</v>
      </c>
      <c r="F243" s="2">
        <v>144.69999999999999</v>
      </c>
      <c r="G243" s="2">
        <v>145.6</v>
      </c>
      <c r="H243" s="2">
        <v>121.1</v>
      </c>
      <c r="I243" s="2">
        <v>150.6</v>
      </c>
      <c r="J243" s="2">
        <v>207.2</v>
      </c>
      <c r="K243" s="2">
        <v>131.19999999999999</v>
      </c>
      <c r="L243" s="2">
        <v>114.8</v>
      </c>
      <c r="M243" s="2">
        <v>145.19999999999999</v>
      </c>
      <c r="N243" s="2">
        <v>130.19999999999999</v>
      </c>
      <c r="O243" s="2">
        <v>156.80000000000001</v>
      </c>
      <c r="P243" s="2">
        <v>151.9</v>
      </c>
      <c r="Q243" s="2">
        <v>169.3</v>
      </c>
      <c r="R243" s="2">
        <v>145.9</v>
      </c>
      <c r="S243" s="2">
        <v>132.4</v>
      </c>
      <c r="T243" s="2">
        <v>143.9</v>
      </c>
      <c r="U243" s="2" t="s">
        <v>124</v>
      </c>
      <c r="V243" s="2">
        <v>128.9</v>
      </c>
      <c r="W243" s="2">
        <v>138.69999999999999</v>
      </c>
      <c r="X243" s="2">
        <v>142.4</v>
      </c>
      <c r="Y243" s="2">
        <v>121.5</v>
      </c>
      <c r="Z243" s="2">
        <v>136.19999999999999</v>
      </c>
      <c r="AA243" s="2">
        <v>151.69999999999999</v>
      </c>
      <c r="AB243" s="2">
        <v>139.5</v>
      </c>
      <c r="AC243" s="2">
        <v>136</v>
      </c>
      <c r="AD243" s="2">
        <v>146</v>
      </c>
    </row>
    <row r="244" spans="1:30" x14ac:dyDescent="0.35">
      <c r="A244" s="2" t="s">
        <v>35</v>
      </c>
      <c r="B244" s="2">
        <v>2019</v>
      </c>
      <c r="C244" s="2" t="s">
        <v>50</v>
      </c>
      <c r="D244" s="2">
        <v>141.80000000000001</v>
      </c>
      <c r="E244" s="2">
        <v>161</v>
      </c>
      <c r="F244" s="2">
        <v>142.6</v>
      </c>
      <c r="G244" s="2">
        <v>146.19999999999999</v>
      </c>
      <c r="H244" s="2">
        <v>123.9</v>
      </c>
      <c r="I244" s="2">
        <v>148</v>
      </c>
      <c r="J244" s="2">
        <v>188.4</v>
      </c>
      <c r="K244" s="2">
        <v>132.5</v>
      </c>
      <c r="L244" s="2">
        <v>114</v>
      </c>
      <c r="M244" s="2">
        <v>145.4</v>
      </c>
      <c r="N244" s="2">
        <v>135.1</v>
      </c>
      <c r="O244" s="2">
        <v>157.1</v>
      </c>
      <c r="P244" s="2">
        <v>149.6</v>
      </c>
      <c r="Q244" s="2">
        <v>167.1</v>
      </c>
      <c r="R244" s="2">
        <v>149.4</v>
      </c>
      <c r="S244" s="2">
        <v>140.80000000000001</v>
      </c>
      <c r="T244" s="2">
        <v>148.19999999999999</v>
      </c>
      <c r="U244" s="2" t="s">
        <v>124</v>
      </c>
      <c r="V244" s="2">
        <v>140.6</v>
      </c>
      <c r="W244" s="2">
        <v>145</v>
      </c>
      <c r="X244" s="2">
        <v>149.4</v>
      </c>
      <c r="Y244" s="2">
        <v>126.3</v>
      </c>
      <c r="Z244" s="2">
        <v>141.69999999999999</v>
      </c>
      <c r="AA244" s="2">
        <v>155.4</v>
      </c>
      <c r="AB244" s="2">
        <v>140</v>
      </c>
      <c r="AC244" s="2">
        <v>141</v>
      </c>
      <c r="AD244" s="2">
        <v>147.19999999999999</v>
      </c>
    </row>
    <row r="245" spans="1:30" x14ac:dyDescent="0.35">
      <c r="A245" s="2" t="s">
        <v>30</v>
      </c>
      <c r="B245" s="2">
        <v>2019</v>
      </c>
      <c r="C245" s="2" t="s">
        <v>53</v>
      </c>
      <c r="D245" s="2">
        <v>141.80000000000001</v>
      </c>
      <c r="E245" s="2">
        <v>163.69999999999999</v>
      </c>
      <c r="F245" s="2">
        <v>143.80000000000001</v>
      </c>
      <c r="G245" s="2">
        <v>147.1</v>
      </c>
      <c r="H245" s="2">
        <v>126</v>
      </c>
      <c r="I245" s="2">
        <v>146.19999999999999</v>
      </c>
      <c r="J245" s="2">
        <v>191.4</v>
      </c>
      <c r="K245" s="2">
        <v>136.19999999999999</v>
      </c>
      <c r="L245" s="2">
        <v>113.8</v>
      </c>
      <c r="M245" s="2">
        <v>147.30000000000001</v>
      </c>
      <c r="N245" s="2">
        <v>138.69999999999999</v>
      </c>
      <c r="O245" s="2">
        <v>157.69999999999999</v>
      </c>
      <c r="P245" s="2">
        <v>150.9</v>
      </c>
      <c r="Q245" s="2">
        <v>167.2</v>
      </c>
      <c r="R245" s="2">
        <v>152.30000000000001</v>
      </c>
      <c r="S245" s="2">
        <v>147</v>
      </c>
      <c r="T245" s="2">
        <v>151.5</v>
      </c>
      <c r="U245" s="2" t="s">
        <v>32</v>
      </c>
      <c r="V245" s="2">
        <v>148.4</v>
      </c>
      <c r="W245" s="2">
        <v>150.9</v>
      </c>
      <c r="X245" s="2">
        <v>154.30000000000001</v>
      </c>
      <c r="Y245" s="2">
        <v>132.1</v>
      </c>
      <c r="Z245" s="2">
        <v>149.1</v>
      </c>
      <c r="AA245" s="2">
        <v>160.80000000000001</v>
      </c>
      <c r="AB245" s="2">
        <v>140.6</v>
      </c>
      <c r="AC245" s="2">
        <v>146.1</v>
      </c>
      <c r="AD245" s="2">
        <v>149.9</v>
      </c>
    </row>
    <row r="246" spans="1:30" x14ac:dyDescent="0.35">
      <c r="A246" s="2" t="s">
        <v>33</v>
      </c>
      <c r="B246" s="2">
        <v>2019</v>
      </c>
      <c r="C246" s="2" t="s">
        <v>53</v>
      </c>
      <c r="D246" s="2">
        <v>144.1</v>
      </c>
      <c r="E246" s="2">
        <v>162.4</v>
      </c>
      <c r="F246" s="2">
        <v>148.4</v>
      </c>
      <c r="G246" s="2">
        <v>145.9</v>
      </c>
      <c r="H246" s="2">
        <v>121.5</v>
      </c>
      <c r="I246" s="2">
        <v>148.80000000000001</v>
      </c>
      <c r="J246" s="2">
        <v>215.7</v>
      </c>
      <c r="K246" s="2">
        <v>134.6</v>
      </c>
      <c r="L246" s="2">
        <v>115</v>
      </c>
      <c r="M246" s="2">
        <v>146.30000000000001</v>
      </c>
      <c r="N246" s="2">
        <v>130.5</v>
      </c>
      <c r="O246" s="2">
        <v>157.19999999999999</v>
      </c>
      <c r="P246" s="2">
        <v>153.6</v>
      </c>
      <c r="Q246" s="2">
        <v>169.9</v>
      </c>
      <c r="R246" s="2">
        <v>146.30000000000001</v>
      </c>
      <c r="S246" s="2">
        <v>132.6</v>
      </c>
      <c r="T246" s="2">
        <v>144.19999999999999</v>
      </c>
      <c r="U246" s="2" t="s">
        <v>125</v>
      </c>
      <c r="V246" s="2">
        <v>132.19999999999999</v>
      </c>
      <c r="W246" s="2">
        <v>139.1</v>
      </c>
      <c r="X246" s="2">
        <v>142.80000000000001</v>
      </c>
      <c r="Y246" s="2">
        <v>121.7</v>
      </c>
      <c r="Z246" s="2">
        <v>136.69999999999999</v>
      </c>
      <c r="AA246" s="2">
        <v>151.80000000000001</v>
      </c>
      <c r="AB246" s="2">
        <v>139.80000000000001</v>
      </c>
      <c r="AC246" s="2">
        <v>136.30000000000001</v>
      </c>
      <c r="AD246" s="2">
        <v>147</v>
      </c>
    </row>
    <row r="247" spans="1:30" x14ac:dyDescent="0.35">
      <c r="A247" s="2" t="s">
        <v>35</v>
      </c>
      <c r="B247" s="2">
        <v>2019</v>
      </c>
      <c r="C247" s="2" t="s">
        <v>53</v>
      </c>
      <c r="D247" s="2">
        <v>142.5</v>
      </c>
      <c r="E247" s="2">
        <v>163.19999999999999</v>
      </c>
      <c r="F247" s="2">
        <v>145.6</v>
      </c>
      <c r="G247" s="2">
        <v>146.69999999999999</v>
      </c>
      <c r="H247" s="2">
        <v>124.3</v>
      </c>
      <c r="I247" s="2">
        <v>147.4</v>
      </c>
      <c r="J247" s="2">
        <v>199.6</v>
      </c>
      <c r="K247" s="2">
        <v>135.69999999999999</v>
      </c>
      <c r="L247" s="2">
        <v>114.2</v>
      </c>
      <c r="M247" s="2">
        <v>147</v>
      </c>
      <c r="N247" s="2">
        <v>135.30000000000001</v>
      </c>
      <c r="O247" s="2">
        <v>157.5</v>
      </c>
      <c r="P247" s="2">
        <v>151.9</v>
      </c>
      <c r="Q247" s="2">
        <v>167.9</v>
      </c>
      <c r="R247" s="2">
        <v>149.9</v>
      </c>
      <c r="S247" s="2">
        <v>141</v>
      </c>
      <c r="T247" s="2">
        <v>148.6</v>
      </c>
      <c r="U247" s="2" t="s">
        <v>125</v>
      </c>
      <c r="V247" s="2">
        <v>142.30000000000001</v>
      </c>
      <c r="W247" s="2">
        <v>145.30000000000001</v>
      </c>
      <c r="X247" s="2">
        <v>149.9</v>
      </c>
      <c r="Y247" s="2">
        <v>126.6</v>
      </c>
      <c r="Z247" s="2">
        <v>142.1</v>
      </c>
      <c r="AA247" s="2">
        <v>155.5</v>
      </c>
      <c r="AB247" s="2">
        <v>140.30000000000001</v>
      </c>
      <c r="AC247" s="2">
        <v>141.30000000000001</v>
      </c>
      <c r="AD247" s="2">
        <v>148.6</v>
      </c>
    </row>
    <row r="248" spans="1:30" x14ac:dyDescent="0.35">
      <c r="A248" s="2" t="s">
        <v>30</v>
      </c>
      <c r="B248" s="2">
        <v>2019</v>
      </c>
      <c r="C248" s="2" t="s">
        <v>55</v>
      </c>
      <c r="D248" s="2">
        <v>142.80000000000001</v>
      </c>
      <c r="E248" s="2">
        <v>165.3</v>
      </c>
      <c r="F248" s="2">
        <v>149.5</v>
      </c>
      <c r="G248" s="2">
        <v>148.69999999999999</v>
      </c>
      <c r="H248" s="2">
        <v>127.5</v>
      </c>
      <c r="I248" s="2">
        <v>144.30000000000001</v>
      </c>
      <c r="J248" s="2">
        <v>209.5</v>
      </c>
      <c r="K248" s="2">
        <v>138.80000000000001</v>
      </c>
      <c r="L248" s="2">
        <v>113.6</v>
      </c>
      <c r="M248" s="2">
        <v>149.1</v>
      </c>
      <c r="N248" s="2">
        <v>139.30000000000001</v>
      </c>
      <c r="O248" s="2">
        <v>158.30000000000001</v>
      </c>
      <c r="P248" s="2">
        <v>154.30000000000001</v>
      </c>
      <c r="Q248" s="2">
        <v>167.8</v>
      </c>
      <c r="R248" s="2">
        <v>152.6</v>
      </c>
      <c r="S248" s="2">
        <v>147.30000000000001</v>
      </c>
      <c r="T248" s="2">
        <v>151.9</v>
      </c>
      <c r="U248" s="2" t="s">
        <v>32</v>
      </c>
      <c r="V248" s="2">
        <v>149.9</v>
      </c>
      <c r="W248" s="2">
        <v>151.19999999999999</v>
      </c>
      <c r="X248" s="2">
        <v>154.80000000000001</v>
      </c>
      <c r="Y248" s="2">
        <v>135</v>
      </c>
      <c r="Z248" s="2">
        <v>149.5</v>
      </c>
      <c r="AA248" s="2">
        <v>161.1</v>
      </c>
      <c r="AB248" s="2">
        <v>140.6</v>
      </c>
      <c r="AC248" s="2">
        <v>147.1</v>
      </c>
      <c r="AD248" s="2">
        <v>152.30000000000001</v>
      </c>
    </row>
    <row r="249" spans="1:30" x14ac:dyDescent="0.35">
      <c r="A249" s="2" t="s">
        <v>33</v>
      </c>
      <c r="B249" s="2">
        <v>2019</v>
      </c>
      <c r="C249" s="2" t="s">
        <v>55</v>
      </c>
      <c r="D249" s="2">
        <v>144.9</v>
      </c>
      <c r="E249" s="2">
        <v>164.5</v>
      </c>
      <c r="F249" s="2">
        <v>153.69999999999999</v>
      </c>
      <c r="G249" s="2">
        <v>147.5</v>
      </c>
      <c r="H249" s="2">
        <v>122.7</v>
      </c>
      <c r="I249" s="2">
        <v>147.19999999999999</v>
      </c>
      <c r="J249" s="2">
        <v>231.5</v>
      </c>
      <c r="K249" s="2">
        <v>137.19999999999999</v>
      </c>
      <c r="L249" s="2">
        <v>114.7</v>
      </c>
      <c r="M249" s="2">
        <v>148</v>
      </c>
      <c r="N249" s="2">
        <v>130.80000000000001</v>
      </c>
      <c r="O249" s="2">
        <v>157.69999999999999</v>
      </c>
      <c r="P249" s="2">
        <v>156.30000000000001</v>
      </c>
      <c r="Q249" s="2">
        <v>170.4</v>
      </c>
      <c r="R249" s="2">
        <v>146.80000000000001</v>
      </c>
      <c r="S249" s="2">
        <v>132.80000000000001</v>
      </c>
      <c r="T249" s="2">
        <v>144.6</v>
      </c>
      <c r="U249" s="2" t="s">
        <v>126</v>
      </c>
      <c r="V249" s="2">
        <v>133.6</v>
      </c>
      <c r="W249" s="2">
        <v>139.80000000000001</v>
      </c>
      <c r="X249" s="2">
        <v>143.19999999999999</v>
      </c>
      <c r="Y249" s="2">
        <v>125.2</v>
      </c>
      <c r="Z249" s="2">
        <v>136.80000000000001</v>
      </c>
      <c r="AA249" s="2">
        <v>151.9</v>
      </c>
      <c r="AB249" s="2">
        <v>140.19999999999999</v>
      </c>
      <c r="AC249" s="2">
        <v>137.69999999999999</v>
      </c>
      <c r="AD249" s="2">
        <v>148.30000000000001</v>
      </c>
    </row>
    <row r="250" spans="1:30" x14ac:dyDescent="0.35">
      <c r="A250" s="2" t="s">
        <v>35</v>
      </c>
      <c r="B250" s="2">
        <v>2019</v>
      </c>
      <c r="C250" s="2" t="s">
        <v>55</v>
      </c>
      <c r="D250" s="2">
        <v>143.5</v>
      </c>
      <c r="E250" s="2">
        <v>165</v>
      </c>
      <c r="F250" s="2">
        <v>151.1</v>
      </c>
      <c r="G250" s="2">
        <v>148.30000000000001</v>
      </c>
      <c r="H250" s="2">
        <v>125.7</v>
      </c>
      <c r="I250" s="2">
        <v>145.69999999999999</v>
      </c>
      <c r="J250" s="2">
        <v>217</v>
      </c>
      <c r="K250" s="2">
        <v>138.30000000000001</v>
      </c>
      <c r="L250" s="2">
        <v>114</v>
      </c>
      <c r="M250" s="2">
        <v>148.69999999999999</v>
      </c>
      <c r="N250" s="2">
        <v>135.80000000000001</v>
      </c>
      <c r="O250" s="2">
        <v>158</v>
      </c>
      <c r="P250" s="2">
        <v>155</v>
      </c>
      <c r="Q250" s="2">
        <v>168.5</v>
      </c>
      <c r="R250" s="2">
        <v>150.30000000000001</v>
      </c>
      <c r="S250" s="2">
        <v>141.30000000000001</v>
      </c>
      <c r="T250" s="2">
        <v>149</v>
      </c>
      <c r="U250" s="2" t="s">
        <v>126</v>
      </c>
      <c r="V250" s="2">
        <v>143.69999999999999</v>
      </c>
      <c r="W250" s="2">
        <v>145.80000000000001</v>
      </c>
      <c r="X250" s="2">
        <v>150.4</v>
      </c>
      <c r="Y250" s="2">
        <v>129.80000000000001</v>
      </c>
      <c r="Z250" s="2">
        <v>142.30000000000001</v>
      </c>
      <c r="AA250" s="2">
        <v>155.69999999999999</v>
      </c>
      <c r="AB250" s="2">
        <v>140.4</v>
      </c>
      <c r="AC250" s="2">
        <v>142.5</v>
      </c>
      <c r="AD250" s="2">
        <v>150.4</v>
      </c>
    </row>
    <row r="251" spans="1:30" x14ac:dyDescent="0.35">
      <c r="A251" s="2" t="s">
        <v>30</v>
      </c>
      <c r="B251" s="2">
        <v>2020</v>
      </c>
      <c r="C251" s="2" t="s">
        <v>31</v>
      </c>
      <c r="D251" s="2">
        <v>143.69999999999999</v>
      </c>
      <c r="E251" s="2">
        <v>167.3</v>
      </c>
      <c r="F251" s="2">
        <v>153.5</v>
      </c>
      <c r="G251" s="2">
        <v>150.5</v>
      </c>
      <c r="H251" s="2">
        <v>132</v>
      </c>
      <c r="I251" s="2">
        <v>142.19999999999999</v>
      </c>
      <c r="J251" s="2">
        <v>191.5</v>
      </c>
      <c r="K251" s="2">
        <v>141.1</v>
      </c>
      <c r="L251" s="2">
        <v>113.8</v>
      </c>
      <c r="M251" s="2">
        <v>151.6</v>
      </c>
      <c r="N251" s="2">
        <v>139.69999999999999</v>
      </c>
      <c r="O251" s="2">
        <v>158.69999999999999</v>
      </c>
      <c r="P251" s="2">
        <v>153</v>
      </c>
      <c r="Q251" s="2">
        <v>168.6</v>
      </c>
      <c r="R251" s="2">
        <v>152.80000000000001</v>
      </c>
      <c r="S251" s="2">
        <v>147.4</v>
      </c>
      <c r="T251" s="2">
        <v>152.1</v>
      </c>
      <c r="U251" s="2" t="s">
        <v>32</v>
      </c>
      <c r="V251" s="2">
        <v>150.4</v>
      </c>
      <c r="W251" s="2">
        <v>151.69999999999999</v>
      </c>
      <c r="X251" s="2">
        <v>155.69999999999999</v>
      </c>
      <c r="Y251" s="2">
        <v>136.30000000000001</v>
      </c>
      <c r="Z251" s="2">
        <v>150.1</v>
      </c>
      <c r="AA251" s="2">
        <v>161.69999999999999</v>
      </c>
      <c r="AB251" s="2">
        <v>142.5</v>
      </c>
      <c r="AC251" s="2">
        <v>148.1</v>
      </c>
      <c r="AD251" s="2">
        <v>151.9</v>
      </c>
    </row>
    <row r="252" spans="1:30" x14ac:dyDescent="0.35">
      <c r="A252" s="2" t="s">
        <v>33</v>
      </c>
      <c r="B252" s="2">
        <v>2020</v>
      </c>
      <c r="C252" s="2" t="s">
        <v>31</v>
      </c>
      <c r="D252" s="2">
        <v>145.6</v>
      </c>
      <c r="E252" s="2">
        <v>167.6</v>
      </c>
      <c r="F252" s="2">
        <v>157</v>
      </c>
      <c r="G252" s="2">
        <v>149.30000000000001</v>
      </c>
      <c r="H252" s="2">
        <v>126.3</v>
      </c>
      <c r="I252" s="2">
        <v>144.4</v>
      </c>
      <c r="J252" s="2">
        <v>207.8</v>
      </c>
      <c r="K252" s="2">
        <v>139.1</v>
      </c>
      <c r="L252" s="2">
        <v>114.8</v>
      </c>
      <c r="M252" s="2">
        <v>149.5</v>
      </c>
      <c r="N252" s="2">
        <v>131.1</v>
      </c>
      <c r="O252" s="2">
        <v>158.5</v>
      </c>
      <c r="P252" s="2">
        <v>154.4</v>
      </c>
      <c r="Q252" s="2">
        <v>170.8</v>
      </c>
      <c r="R252" s="2">
        <v>147</v>
      </c>
      <c r="S252" s="2">
        <v>133.19999999999999</v>
      </c>
      <c r="T252" s="2">
        <v>144.9</v>
      </c>
      <c r="U252" s="2" t="s">
        <v>127</v>
      </c>
      <c r="V252" s="2">
        <v>135.1</v>
      </c>
      <c r="W252" s="2">
        <v>140.1</v>
      </c>
      <c r="X252" s="2">
        <v>143.80000000000001</v>
      </c>
      <c r="Y252" s="2">
        <v>126.1</v>
      </c>
      <c r="Z252" s="2">
        <v>137.19999999999999</v>
      </c>
      <c r="AA252" s="2">
        <v>152.1</v>
      </c>
      <c r="AB252" s="2">
        <v>142.1</v>
      </c>
      <c r="AC252" s="2">
        <v>138.4</v>
      </c>
      <c r="AD252" s="2">
        <v>148.19999999999999</v>
      </c>
    </row>
    <row r="253" spans="1:30" x14ac:dyDescent="0.35">
      <c r="A253" s="2" t="s">
        <v>35</v>
      </c>
      <c r="B253" s="2">
        <v>2020</v>
      </c>
      <c r="C253" s="2" t="s">
        <v>31</v>
      </c>
      <c r="D253" s="2">
        <v>144.30000000000001</v>
      </c>
      <c r="E253" s="2">
        <v>167.4</v>
      </c>
      <c r="F253" s="2">
        <v>154.9</v>
      </c>
      <c r="G253" s="2">
        <v>150.1</v>
      </c>
      <c r="H253" s="2">
        <v>129.9</v>
      </c>
      <c r="I253" s="2">
        <v>143.19999999999999</v>
      </c>
      <c r="J253" s="2">
        <v>197</v>
      </c>
      <c r="K253" s="2">
        <v>140.4</v>
      </c>
      <c r="L253" s="2">
        <v>114.1</v>
      </c>
      <c r="M253" s="2">
        <v>150.9</v>
      </c>
      <c r="N253" s="2">
        <v>136.1</v>
      </c>
      <c r="O253" s="2">
        <v>158.6</v>
      </c>
      <c r="P253" s="2">
        <v>153.5</v>
      </c>
      <c r="Q253" s="2">
        <v>169.2</v>
      </c>
      <c r="R253" s="2">
        <v>150.5</v>
      </c>
      <c r="S253" s="2">
        <v>141.5</v>
      </c>
      <c r="T253" s="2">
        <v>149.19999999999999</v>
      </c>
      <c r="U253" s="2" t="s">
        <v>127</v>
      </c>
      <c r="V253" s="2">
        <v>144.6</v>
      </c>
      <c r="W253" s="2">
        <v>146.19999999999999</v>
      </c>
      <c r="X253" s="2">
        <v>151.19999999999999</v>
      </c>
      <c r="Y253" s="2">
        <v>130.9</v>
      </c>
      <c r="Z253" s="2">
        <v>142.80000000000001</v>
      </c>
      <c r="AA253" s="2">
        <v>156.1</v>
      </c>
      <c r="AB253" s="2">
        <v>142.30000000000001</v>
      </c>
      <c r="AC253" s="2">
        <v>143.4</v>
      </c>
      <c r="AD253" s="2">
        <v>150.19999999999999</v>
      </c>
    </row>
    <row r="254" spans="1:30" x14ac:dyDescent="0.35">
      <c r="A254" s="2" t="s">
        <v>30</v>
      </c>
      <c r="B254" s="2">
        <v>2020</v>
      </c>
      <c r="C254" s="2" t="s">
        <v>36</v>
      </c>
      <c r="D254" s="2">
        <v>144.19999999999999</v>
      </c>
      <c r="E254" s="2">
        <v>167.5</v>
      </c>
      <c r="F254" s="2">
        <v>150.9</v>
      </c>
      <c r="G254" s="2">
        <v>150.9</v>
      </c>
      <c r="H254" s="2">
        <v>133.69999999999999</v>
      </c>
      <c r="I254" s="2">
        <v>140.69999999999999</v>
      </c>
      <c r="J254" s="2">
        <v>165.1</v>
      </c>
      <c r="K254" s="2">
        <v>141.80000000000001</v>
      </c>
      <c r="L254" s="2">
        <v>113.1</v>
      </c>
      <c r="M254" s="2">
        <v>152.80000000000001</v>
      </c>
      <c r="N254" s="2">
        <v>140.1</v>
      </c>
      <c r="O254" s="2">
        <v>159.19999999999999</v>
      </c>
      <c r="P254" s="2">
        <v>149.80000000000001</v>
      </c>
      <c r="Q254" s="2">
        <v>169.4</v>
      </c>
      <c r="R254" s="2">
        <v>153</v>
      </c>
      <c r="S254" s="2">
        <v>147.5</v>
      </c>
      <c r="T254" s="2">
        <v>152.30000000000001</v>
      </c>
      <c r="U254" s="2" t="s">
        <v>32</v>
      </c>
      <c r="V254" s="2">
        <v>152.30000000000001</v>
      </c>
      <c r="W254" s="2">
        <v>151.80000000000001</v>
      </c>
      <c r="X254" s="2">
        <v>156.19999999999999</v>
      </c>
      <c r="Y254" s="2">
        <v>136</v>
      </c>
      <c r="Z254" s="2">
        <v>150.4</v>
      </c>
      <c r="AA254" s="2">
        <v>161.9</v>
      </c>
      <c r="AB254" s="2">
        <v>143.4</v>
      </c>
      <c r="AC254" s="2">
        <v>148.4</v>
      </c>
      <c r="AD254" s="2">
        <v>150.4</v>
      </c>
    </row>
    <row r="255" spans="1:30" x14ac:dyDescent="0.35">
      <c r="A255" s="2" t="s">
        <v>33</v>
      </c>
      <c r="B255" s="2">
        <v>2020</v>
      </c>
      <c r="C255" s="2" t="s">
        <v>36</v>
      </c>
      <c r="D255" s="2">
        <v>146.19999999999999</v>
      </c>
      <c r="E255" s="2">
        <v>167.6</v>
      </c>
      <c r="F255" s="2">
        <v>153.1</v>
      </c>
      <c r="G255" s="2">
        <v>150.69999999999999</v>
      </c>
      <c r="H255" s="2">
        <v>127.4</v>
      </c>
      <c r="I255" s="2">
        <v>143.1</v>
      </c>
      <c r="J255" s="2">
        <v>181.7</v>
      </c>
      <c r="K255" s="2">
        <v>139.6</v>
      </c>
      <c r="L255" s="2">
        <v>114.6</v>
      </c>
      <c r="M255" s="2">
        <v>150.4</v>
      </c>
      <c r="N255" s="2">
        <v>131.5</v>
      </c>
      <c r="O255" s="2">
        <v>159</v>
      </c>
      <c r="P255" s="2">
        <v>151.69999999999999</v>
      </c>
      <c r="Q255" s="2">
        <v>172</v>
      </c>
      <c r="R255" s="2">
        <v>147.30000000000001</v>
      </c>
      <c r="S255" s="2">
        <v>133.5</v>
      </c>
      <c r="T255" s="2">
        <v>145.19999999999999</v>
      </c>
      <c r="U255" s="2" t="s">
        <v>128</v>
      </c>
      <c r="V255" s="2">
        <v>138.9</v>
      </c>
      <c r="W255" s="2">
        <v>140.4</v>
      </c>
      <c r="X255" s="2">
        <v>144.4</v>
      </c>
      <c r="Y255" s="2">
        <v>125.2</v>
      </c>
      <c r="Z255" s="2">
        <v>137.69999999999999</v>
      </c>
      <c r="AA255" s="2">
        <v>152.19999999999999</v>
      </c>
      <c r="AB255" s="2">
        <v>143.5</v>
      </c>
      <c r="AC255" s="2">
        <v>138.4</v>
      </c>
      <c r="AD255" s="2">
        <v>147.69999999999999</v>
      </c>
    </row>
    <row r="256" spans="1:30" x14ac:dyDescent="0.35">
      <c r="A256" s="2" t="s">
        <v>35</v>
      </c>
      <c r="B256" s="2">
        <v>2020</v>
      </c>
      <c r="C256" s="2" t="s">
        <v>36</v>
      </c>
      <c r="D256" s="2">
        <v>144.80000000000001</v>
      </c>
      <c r="E256" s="2">
        <v>167.5</v>
      </c>
      <c r="F256" s="2">
        <v>151.80000000000001</v>
      </c>
      <c r="G256" s="2">
        <v>150.80000000000001</v>
      </c>
      <c r="H256" s="2">
        <v>131.4</v>
      </c>
      <c r="I256" s="2">
        <v>141.80000000000001</v>
      </c>
      <c r="J256" s="2">
        <v>170.7</v>
      </c>
      <c r="K256" s="2">
        <v>141.1</v>
      </c>
      <c r="L256" s="2">
        <v>113.6</v>
      </c>
      <c r="M256" s="2">
        <v>152</v>
      </c>
      <c r="N256" s="2">
        <v>136.5</v>
      </c>
      <c r="O256" s="2">
        <v>159.1</v>
      </c>
      <c r="P256" s="2">
        <v>150.5</v>
      </c>
      <c r="Q256" s="2">
        <v>170.1</v>
      </c>
      <c r="R256" s="2">
        <v>150.80000000000001</v>
      </c>
      <c r="S256" s="2">
        <v>141.69999999999999</v>
      </c>
      <c r="T256" s="2">
        <v>149.5</v>
      </c>
      <c r="U256" s="2" t="s">
        <v>128</v>
      </c>
      <c r="V256" s="2">
        <v>147.19999999999999</v>
      </c>
      <c r="W256" s="2">
        <v>146.4</v>
      </c>
      <c r="X256" s="2">
        <v>151.69999999999999</v>
      </c>
      <c r="Y256" s="2">
        <v>130.30000000000001</v>
      </c>
      <c r="Z256" s="2">
        <v>143.19999999999999</v>
      </c>
      <c r="AA256" s="2">
        <v>156.19999999999999</v>
      </c>
      <c r="AB256" s="2">
        <v>143.4</v>
      </c>
      <c r="AC256" s="2">
        <v>143.6</v>
      </c>
      <c r="AD256" s="2">
        <v>149.1</v>
      </c>
    </row>
    <row r="257" spans="1:30" x14ac:dyDescent="0.35">
      <c r="A257" s="2" t="s">
        <v>30</v>
      </c>
      <c r="B257" s="2">
        <v>2020</v>
      </c>
      <c r="C257" s="2" t="s">
        <v>38</v>
      </c>
      <c r="D257" s="2">
        <v>144.4</v>
      </c>
      <c r="E257" s="2">
        <v>166.8</v>
      </c>
      <c r="F257" s="2">
        <v>147.6</v>
      </c>
      <c r="G257" s="2">
        <v>151.69999999999999</v>
      </c>
      <c r="H257" s="2">
        <v>133.30000000000001</v>
      </c>
      <c r="I257" s="2">
        <v>141.80000000000001</v>
      </c>
      <c r="J257" s="2">
        <v>152.30000000000001</v>
      </c>
      <c r="K257" s="2">
        <v>141.80000000000001</v>
      </c>
      <c r="L257" s="2">
        <v>112.6</v>
      </c>
      <c r="M257" s="2">
        <v>154</v>
      </c>
      <c r="N257" s="2">
        <v>140.1</v>
      </c>
      <c r="O257" s="2">
        <v>160</v>
      </c>
      <c r="P257" s="2">
        <v>148.19999999999999</v>
      </c>
      <c r="Q257" s="2">
        <v>170.5</v>
      </c>
      <c r="R257" s="2">
        <v>153.4</v>
      </c>
      <c r="S257" s="2">
        <v>147.6</v>
      </c>
      <c r="T257" s="2">
        <v>152.5</v>
      </c>
      <c r="U257" s="2" t="s">
        <v>32</v>
      </c>
      <c r="V257" s="2">
        <v>153.4</v>
      </c>
      <c r="W257" s="2">
        <v>151.5</v>
      </c>
      <c r="X257" s="2">
        <v>156.69999999999999</v>
      </c>
      <c r="Y257" s="2">
        <v>135.80000000000001</v>
      </c>
      <c r="Z257" s="2">
        <v>151.19999999999999</v>
      </c>
      <c r="AA257" s="2">
        <v>161.19999999999999</v>
      </c>
      <c r="AB257" s="2">
        <v>145.1</v>
      </c>
      <c r="AC257" s="2">
        <v>148.6</v>
      </c>
      <c r="AD257" s="2">
        <v>149.80000000000001</v>
      </c>
    </row>
    <row r="258" spans="1:30" x14ac:dyDescent="0.35">
      <c r="A258" s="2" t="s">
        <v>33</v>
      </c>
      <c r="B258" s="2">
        <v>2020</v>
      </c>
      <c r="C258" s="2" t="s">
        <v>38</v>
      </c>
      <c r="D258" s="2">
        <v>146.5</v>
      </c>
      <c r="E258" s="2">
        <v>167.5</v>
      </c>
      <c r="F258" s="2">
        <v>148.9</v>
      </c>
      <c r="G258" s="2">
        <v>151.1</v>
      </c>
      <c r="H258" s="2">
        <v>127.5</v>
      </c>
      <c r="I258" s="2">
        <v>143.30000000000001</v>
      </c>
      <c r="J258" s="2">
        <v>167</v>
      </c>
      <c r="K258" s="2">
        <v>139.69999999999999</v>
      </c>
      <c r="L258" s="2">
        <v>114.4</v>
      </c>
      <c r="M258" s="2">
        <v>151.5</v>
      </c>
      <c r="N258" s="2">
        <v>131.9</v>
      </c>
      <c r="O258" s="2">
        <v>159.1</v>
      </c>
      <c r="P258" s="2">
        <v>150.1</v>
      </c>
      <c r="Q258" s="2">
        <v>173.3</v>
      </c>
      <c r="R258" s="2">
        <v>147.69999999999999</v>
      </c>
      <c r="S258" s="2">
        <v>133.80000000000001</v>
      </c>
      <c r="T258" s="2">
        <v>145.6</v>
      </c>
      <c r="U258" s="2" t="s">
        <v>129</v>
      </c>
      <c r="V258" s="2">
        <v>141.4</v>
      </c>
      <c r="W258" s="2">
        <v>140.80000000000001</v>
      </c>
      <c r="X258" s="2">
        <v>145</v>
      </c>
      <c r="Y258" s="2">
        <v>124.6</v>
      </c>
      <c r="Z258" s="2">
        <v>137.9</v>
      </c>
      <c r="AA258" s="2">
        <v>152.5</v>
      </c>
      <c r="AB258" s="2">
        <v>145.30000000000001</v>
      </c>
      <c r="AC258" s="2">
        <v>138.69999999999999</v>
      </c>
      <c r="AD258" s="2">
        <v>147.30000000000001</v>
      </c>
    </row>
    <row r="259" spans="1:30" x14ac:dyDescent="0.35">
      <c r="A259" s="2" t="s">
        <v>35</v>
      </c>
      <c r="B259" s="2">
        <v>2020</v>
      </c>
      <c r="C259" s="2" t="s">
        <v>38</v>
      </c>
      <c r="D259" s="2">
        <v>145.1</v>
      </c>
      <c r="E259" s="2">
        <v>167</v>
      </c>
      <c r="F259" s="2">
        <v>148.1</v>
      </c>
      <c r="G259" s="2">
        <v>151.5</v>
      </c>
      <c r="H259" s="2">
        <v>131.19999999999999</v>
      </c>
      <c r="I259" s="2">
        <v>142.5</v>
      </c>
      <c r="J259" s="2">
        <v>157.30000000000001</v>
      </c>
      <c r="K259" s="2">
        <v>141.1</v>
      </c>
      <c r="L259" s="2">
        <v>113.2</v>
      </c>
      <c r="M259" s="2">
        <v>153.19999999999999</v>
      </c>
      <c r="N259" s="2">
        <v>136.69999999999999</v>
      </c>
      <c r="O259" s="2">
        <v>159.6</v>
      </c>
      <c r="P259" s="2">
        <v>148.9</v>
      </c>
      <c r="Q259" s="2">
        <v>171.2</v>
      </c>
      <c r="R259" s="2">
        <v>151.19999999999999</v>
      </c>
      <c r="S259" s="2">
        <v>141.9</v>
      </c>
      <c r="T259" s="2">
        <v>149.80000000000001</v>
      </c>
      <c r="U259" s="2" t="s">
        <v>129</v>
      </c>
      <c r="V259" s="2">
        <v>148.9</v>
      </c>
      <c r="W259" s="2">
        <v>146.4</v>
      </c>
      <c r="X259" s="2">
        <v>152.30000000000001</v>
      </c>
      <c r="Y259" s="2">
        <v>129.9</v>
      </c>
      <c r="Z259" s="2">
        <v>143.69999999999999</v>
      </c>
      <c r="AA259" s="2">
        <v>156.1</v>
      </c>
      <c r="AB259" s="2">
        <v>145.19999999999999</v>
      </c>
      <c r="AC259" s="2">
        <v>143.80000000000001</v>
      </c>
      <c r="AD259" s="2">
        <v>148.6</v>
      </c>
    </row>
    <row r="260" spans="1:30" x14ac:dyDescent="0.35">
      <c r="A260" s="2" t="s">
        <v>30</v>
      </c>
      <c r="B260" s="2">
        <v>2020</v>
      </c>
      <c r="C260" s="2" t="s">
        <v>39</v>
      </c>
      <c r="D260" s="2">
        <v>147.19999999999999</v>
      </c>
      <c r="E260" s="3">
        <f>SUM(E257,E266)/2</f>
        <v>178.55</v>
      </c>
      <c r="F260" s="2">
        <v>146.9</v>
      </c>
      <c r="G260" s="2">
        <v>155.6</v>
      </c>
      <c r="H260" s="2">
        <v>137.1</v>
      </c>
      <c r="I260" s="2">
        <v>147.30000000000001</v>
      </c>
      <c r="J260" s="2">
        <v>162.69999999999999</v>
      </c>
      <c r="K260" s="2">
        <v>150.19999999999999</v>
      </c>
      <c r="L260" s="2">
        <v>119.8</v>
      </c>
      <c r="M260" s="2">
        <v>158.69999999999999</v>
      </c>
      <c r="N260" s="2">
        <v>139.19999999999999</v>
      </c>
      <c r="O260" s="2">
        <f>SUM(O257,O266)/2</f>
        <v>160.9</v>
      </c>
      <c r="P260" s="2">
        <v>150.1</v>
      </c>
      <c r="Q260" s="3">
        <f t="shared" ref="Q260:T262" si="0">SUM(Q257,Q266)/2</f>
        <v>176.45</v>
      </c>
      <c r="R260" s="3">
        <f t="shared" si="0"/>
        <v>154.05000000000001</v>
      </c>
      <c r="S260" s="2">
        <f t="shared" si="0"/>
        <v>148.80000000000001</v>
      </c>
      <c r="T260" s="2">
        <f t="shared" si="0"/>
        <v>153.30000000000001</v>
      </c>
      <c r="U260" s="2" t="s">
        <v>32</v>
      </c>
      <c r="V260" s="2">
        <v>148.4</v>
      </c>
      <c r="W260" s="2">
        <f>SUM(W257,W266)/2</f>
        <v>151.6</v>
      </c>
      <c r="X260" s="2">
        <v>154.30000000000001</v>
      </c>
      <c r="Y260" s="2">
        <f t="shared" ref="Y260:AD262" si="1">SUM(Y257,Y266)/2</f>
        <v>138.60000000000002</v>
      </c>
      <c r="Z260" s="2">
        <f t="shared" si="1"/>
        <v>152.19999999999999</v>
      </c>
      <c r="AA260" s="2">
        <f t="shared" si="1"/>
        <v>161.5</v>
      </c>
      <c r="AB260" s="3">
        <f t="shared" si="1"/>
        <v>148.14999999999998</v>
      </c>
      <c r="AC260" s="3">
        <f t="shared" si="1"/>
        <v>150.14999999999998</v>
      </c>
      <c r="AD260" s="3">
        <f t="shared" si="1"/>
        <v>151.25</v>
      </c>
    </row>
    <row r="261" spans="1:30" x14ac:dyDescent="0.35">
      <c r="A261" s="2" t="s">
        <v>33</v>
      </c>
      <c r="B261" s="2">
        <v>2020</v>
      </c>
      <c r="C261" s="2" t="s">
        <v>39</v>
      </c>
      <c r="D261" s="2">
        <v>151.80000000000001</v>
      </c>
      <c r="E261" s="3">
        <f>SUM(E258,E267)/2</f>
        <v>182.25</v>
      </c>
      <c r="F261" s="2">
        <v>151.9</v>
      </c>
      <c r="G261" s="2">
        <v>155.5</v>
      </c>
      <c r="H261" s="2">
        <v>131.6</v>
      </c>
      <c r="I261" s="2">
        <v>152.9</v>
      </c>
      <c r="J261" s="2">
        <v>180</v>
      </c>
      <c r="K261" s="2">
        <v>150.80000000000001</v>
      </c>
      <c r="L261" s="2">
        <v>121.2</v>
      </c>
      <c r="M261" s="2">
        <v>154</v>
      </c>
      <c r="N261" s="2">
        <v>133.5</v>
      </c>
      <c r="O261" s="2">
        <f>SUM(O258,O267)/2</f>
        <v>160.39999999999998</v>
      </c>
      <c r="P261" s="2">
        <v>153.5</v>
      </c>
      <c r="Q261" s="2">
        <f t="shared" si="0"/>
        <v>180</v>
      </c>
      <c r="R261" s="2">
        <f t="shared" si="0"/>
        <v>148.39999999999998</v>
      </c>
      <c r="S261" s="2">
        <f t="shared" si="0"/>
        <v>135.19999999999999</v>
      </c>
      <c r="T261" s="2">
        <f t="shared" si="0"/>
        <v>146.39999999999998</v>
      </c>
      <c r="U261" s="2" t="s">
        <v>130</v>
      </c>
      <c r="V261" s="2">
        <v>137.1</v>
      </c>
      <c r="W261" s="2">
        <f>SUM(W258,W267)/2</f>
        <v>140.60000000000002</v>
      </c>
      <c r="X261" s="2">
        <v>144.80000000000001</v>
      </c>
      <c r="Y261" s="3">
        <f t="shared" si="1"/>
        <v>126.95</v>
      </c>
      <c r="Z261" s="2">
        <f t="shared" si="1"/>
        <v>141.19999999999999</v>
      </c>
      <c r="AA261" s="2">
        <f t="shared" si="1"/>
        <v>152.5</v>
      </c>
      <c r="AB261" s="3">
        <f t="shared" si="1"/>
        <v>148.75</v>
      </c>
      <c r="AC261" s="3">
        <f t="shared" si="1"/>
        <v>140.35</v>
      </c>
      <c r="AD261" s="3">
        <f t="shared" si="1"/>
        <v>149.05000000000001</v>
      </c>
    </row>
    <row r="262" spans="1:30" x14ac:dyDescent="0.35">
      <c r="A262" s="2" t="s">
        <v>35</v>
      </c>
      <c r="B262" s="2">
        <v>2020</v>
      </c>
      <c r="C262" s="2" t="s">
        <v>39</v>
      </c>
      <c r="D262" s="2">
        <v>148.69999999999999</v>
      </c>
      <c r="E262" s="3">
        <f>SUM(E259,E268)/2</f>
        <v>179.85</v>
      </c>
      <c r="F262" s="2">
        <v>148.80000000000001</v>
      </c>
      <c r="G262" s="2">
        <v>155.6</v>
      </c>
      <c r="H262" s="2">
        <v>135.1</v>
      </c>
      <c r="I262" s="2">
        <v>149.9</v>
      </c>
      <c r="J262" s="2">
        <v>168.6</v>
      </c>
      <c r="K262" s="2">
        <v>150.4</v>
      </c>
      <c r="L262" s="2">
        <v>120.3</v>
      </c>
      <c r="M262" s="2">
        <v>157.1</v>
      </c>
      <c r="N262" s="2">
        <v>136.80000000000001</v>
      </c>
      <c r="O262" s="2">
        <f>SUM(O259,O268)/2</f>
        <v>160.69999999999999</v>
      </c>
      <c r="P262" s="2">
        <v>151.4</v>
      </c>
      <c r="Q262" s="3">
        <f t="shared" si="0"/>
        <v>177.35</v>
      </c>
      <c r="R262" s="3">
        <f t="shared" si="0"/>
        <v>151.85</v>
      </c>
      <c r="S262" s="3">
        <f t="shared" si="0"/>
        <v>143.15</v>
      </c>
      <c r="T262" s="2">
        <f t="shared" si="0"/>
        <v>150.60000000000002</v>
      </c>
      <c r="U262" s="2" t="s">
        <v>130</v>
      </c>
      <c r="V262" s="2">
        <v>144.1</v>
      </c>
      <c r="W262" s="2">
        <f>SUM(W259,W268)/2</f>
        <v>146.4</v>
      </c>
      <c r="X262" s="2">
        <v>150.69999999999999</v>
      </c>
      <c r="Y262" s="3">
        <f t="shared" si="1"/>
        <v>132.44999999999999</v>
      </c>
      <c r="Z262" s="2">
        <f t="shared" si="1"/>
        <v>146</v>
      </c>
      <c r="AA262" s="3">
        <f t="shared" si="1"/>
        <v>156.25</v>
      </c>
      <c r="AB262" s="2">
        <f t="shared" si="1"/>
        <v>148.39999999999998</v>
      </c>
      <c r="AC262" s="2">
        <f t="shared" si="1"/>
        <v>145.4</v>
      </c>
      <c r="AD262" s="2">
        <f t="shared" si="1"/>
        <v>150.19999999999999</v>
      </c>
    </row>
    <row r="263" spans="1:30" x14ac:dyDescent="0.35">
      <c r="A263" s="2" t="s">
        <v>30</v>
      </c>
      <c r="B263" s="2">
        <v>2020</v>
      </c>
      <c r="C263" s="2" t="s">
        <v>41</v>
      </c>
      <c r="D263" s="2">
        <f t="shared" ref="D263:T263" si="2">SUM(D260,D266)/2</f>
        <v>147.69999999999999</v>
      </c>
      <c r="E263" s="3">
        <f t="shared" si="2"/>
        <v>184.42500000000001</v>
      </c>
      <c r="F263" s="2">
        <f t="shared" si="2"/>
        <v>148.15</v>
      </c>
      <c r="G263" s="3">
        <f t="shared" si="2"/>
        <v>154.44999999999999</v>
      </c>
      <c r="H263" s="3">
        <f t="shared" si="2"/>
        <v>137.64999999999998</v>
      </c>
      <c r="I263" s="3">
        <f t="shared" si="2"/>
        <v>145.25</v>
      </c>
      <c r="J263" s="2">
        <f t="shared" si="2"/>
        <v>155.80000000000001</v>
      </c>
      <c r="K263" s="3">
        <f t="shared" si="2"/>
        <v>150.25</v>
      </c>
      <c r="L263" s="3">
        <f t="shared" si="2"/>
        <v>116.5</v>
      </c>
      <c r="M263" s="3">
        <f t="shared" si="2"/>
        <v>159.25</v>
      </c>
      <c r="N263" s="3">
        <f t="shared" si="2"/>
        <v>140.64999999999998</v>
      </c>
      <c r="O263" s="3">
        <f t="shared" si="2"/>
        <v>161.35000000000002</v>
      </c>
      <c r="P263" s="2">
        <f t="shared" si="2"/>
        <v>151.19999999999999</v>
      </c>
      <c r="Q263" s="3">
        <f t="shared" si="2"/>
        <v>179.42500000000001</v>
      </c>
      <c r="R263" s="3">
        <f t="shared" si="2"/>
        <v>154.375</v>
      </c>
      <c r="S263" s="2">
        <f t="shared" si="2"/>
        <v>149.4</v>
      </c>
      <c r="T263" s="2">
        <f t="shared" si="2"/>
        <v>153.69999999999999</v>
      </c>
      <c r="U263" s="2" t="s">
        <v>32</v>
      </c>
      <c r="V263" s="3">
        <f t="shared" ref="V263:AD263" si="3">SUM(V260,V266)/2</f>
        <v>146.65</v>
      </c>
      <c r="W263" s="3">
        <f t="shared" si="3"/>
        <v>151.64999999999998</v>
      </c>
      <c r="X263" s="3">
        <f t="shared" si="3"/>
        <v>156.25</v>
      </c>
      <c r="Y263" s="2">
        <f t="shared" si="3"/>
        <v>140</v>
      </c>
      <c r="Z263" s="2">
        <f t="shared" si="3"/>
        <v>152.69999999999999</v>
      </c>
      <c r="AA263" s="3">
        <f t="shared" si="3"/>
        <v>161.65</v>
      </c>
      <c r="AB263" s="3">
        <f t="shared" si="3"/>
        <v>149.67499999999998</v>
      </c>
      <c r="AC263" s="3">
        <f t="shared" si="3"/>
        <v>150.92499999999998</v>
      </c>
      <c r="AD263" s="3">
        <f t="shared" si="3"/>
        <v>151.97499999999999</v>
      </c>
    </row>
    <row r="264" spans="1:30" x14ac:dyDescent="0.35">
      <c r="A264" s="2" t="s">
        <v>33</v>
      </c>
      <c r="B264" s="2">
        <v>2020</v>
      </c>
      <c r="C264" s="2" t="s">
        <v>41</v>
      </c>
      <c r="D264" s="2">
        <f t="shared" ref="D264:J265" si="4">SUM(D261,D267)/2</f>
        <v>152.25</v>
      </c>
      <c r="E264" s="3">
        <f t="shared" si="4"/>
        <v>189.625</v>
      </c>
      <c r="F264" s="2">
        <f t="shared" si="4"/>
        <v>153.25</v>
      </c>
      <c r="G264" s="3">
        <f t="shared" si="4"/>
        <v>154.44999999999999</v>
      </c>
      <c r="H264" s="3">
        <f t="shared" si="4"/>
        <v>132.25</v>
      </c>
      <c r="I264" s="3">
        <f t="shared" si="4"/>
        <v>152.35000000000002</v>
      </c>
      <c r="J264" s="2">
        <f t="shared" si="4"/>
        <v>175.6</v>
      </c>
      <c r="K264" s="3">
        <f>SUM(K263,K265)/2</f>
        <v>150.44999999999999</v>
      </c>
      <c r="L264" s="3">
        <f t="shared" ref="L264:T264" si="5">SUM(L261,L267)/2</f>
        <v>118.75</v>
      </c>
      <c r="M264" s="2">
        <f t="shared" si="5"/>
        <v>156.4</v>
      </c>
      <c r="N264" s="3">
        <f t="shared" si="5"/>
        <v>134.55000000000001</v>
      </c>
      <c r="O264" s="3">
        <f t="shared" si="5"/>
        <v>161.04999999999998</v>
      </c>
      <c r="P264" s="3">
        <f t="shared" si="5"/>
        <v>155.25</v>
      </c>
      <c r="Q264" s="3">
        <f t="shared" si="5"/>
        <v>183.35</v>
      </c>
      <c r="R264" s="3">
        <f t="shared" si="5"/>
        <v>148.75</v>
      </c>
      <c r="S264" s="2">
        <f t="shared" si="5"/>
        <v>135.89999999999998</v>
      </c>
      <c r="T264" s="2">
        <f t="shared" si="5"/>
        <v>146.79999999999998</v>
      </c>
      <c r="U264" s="2" t="s">
        <v>32</v>
      </c>
      <c r="V264" s="2">
        <f>SUM(V261,V267)/2</f>
        <v>137.1</v>
      </c>
      <c r="W264" s="2">
        <f>SUM(,W261,W267)/2</f>
        <v>140.5</v>
      </c>
      <c r="X264" s="3">
        <f t="shared" ref="X264:AD265" si="6">SUM(X261,X267)/2</f>
        <v>146.44999999999999</v>
      </c>
      <c r="Y264" s="3">
        <f t="shared" si="6"/>
        <v>128.125</v>
      </c>
      <c r="Z264" s="3">
        <f t="shared" si="6"/>
        <v>142.85</v>
      </c>
      <c r="AA264" s="2">
        <f t="shared" si="6"/>
        <v>152.5</v>
      </c>
      <c r="AB264" s="3">
        <f t="shared" si="6"/>
        <v>150.47499999999999</v>
      </c>
      <c r="AC264" s="3">
        <f t="shared" si="6"/>
        <v>141.17500000000001</v>
      </c>
      <c r="AD264" s="3">
        <f t="shared" si="6"/>
        <v>149.92500000000001</v>
      </c>
    </row>
    <row r="265" spans="1:30" x14ac:dyDescent="0.35">
      <c r="A265" s="2" t="s">
        <v>35</v>
      </c>
      <c r="B265" s="2">
        <v>2020</v>
      </c>
      <c r="C265" s="2" t="s">
        <v>41</v>
      </c>
      <c r="D265" s="2">
        <f t="shared" si="4"/>
        <v>149.14999999999998</v>
      </c>
      <c r="E265" s="3">
        <f t="shared" si="4"/>
        <v>186.27499999999998</v>
      </c>
      <c r="F265" s="2">
        <f t="shared" si="4"/>
        <v>150.10000000000002</v>
      </c>
      <c r="G265" s="3">
        <f t="shared" si="4"/>
        <v>154.44999999999999</v>
      </c>
      <c r="H265" s="3">
        <f t="shared" si="4"/>
        <v>135.69999999999999</v>
      </c>
      <c r="I265" s="3">
        <f t="shared" si="4"/>
        <v>148.55000000000001</v>
      </c>
      <c r="J265" s="3">
        <f t="shared" si="4"/>
        <v>162.55000000000001</v>
      </c>
      <c r="K265" s="3">
        <f>SUM(K262,K268)/2</f>
        <v>150.65</v>
      </c>
      <c r="L265" s="3">
        <f t="shared" ref="L265:T265" si="7">SUM(L262,L268)/2</f>
        <v>117.25</v>
      </c>
      <c r="M265" s="3">
        <f t="shared" si="7"/>
        <v>158.30000000000001</v>
      </c>
      <c r="N265" s="3">
        <f t="shared" si="7"/>
        <v>138.10000000000002</v>
      </c>
      <c r="O265" s="3">
        <f t="shared" si="7"/>
        <v>161.25</v>
      </c>
      <c r="P265" s="3">
        <f t="shared" si="7"/>
        <v>152.69999999999999</v>
      </c>
      <c r="Q265" s="3">
        <f t="shared" si="7"/>
        <v>180.42500000000001</v>
      </c>
      <c r="R265" s="3">
        <f t="shared" si="7"/>
        <v>152.17500000000001</v>
      </c>
      <c r="S265" s="3">
        <f t="shared" si="7"/>
        <v>143.77500000000001</v>
      </c>
      <c r="T265" s="2">
        <f t="shared" si="7"/>
        <v>151</v>
      </c>
      <c r="U265" s="2" t="s">
        <v>32</v>
      </c>
      <c r="V265" s="2">
        <f>SUM(V262,V268)/2</f>
        <v>143</v>
      </c>
      <c r="W265" s="2">
        <f>SUM(W262,W268)/2</f>
        <v>146.4</v>
      </c>
      <c r="X265" s="3">
        <f t="shared" si="6"/>
        <v>152.55000000000001</v>
      </c>
      <c r="Y265" s="3">
        <f t="shared" si="6"/>
        <v>133.72499999999999</v>
      </c>
      <c r="Z265" s="3">
        <f t="shared" si="6"/>
        <v>147.15</v>
      </c>
      <c r="AA265" s="3">
        <f t="shared" si="6"/>
        <v>156.32499999999999</v>
      </c>
      <c r="AB265" s="2">
        <f t="shared" si="6"/>
        <v>150</v>
      </c>
      <c r="AC265" s="2">
        <f t="shared" si="6"/>
        <v>146.19999999999999</v>
      </c>
      <c r="AD265" s="2">
        <f t="shared" si="6"/>
        <v>151</v>
      </c>
    </row>
    <row r="266" spans="1:30" x14ac:dyDescent="0.35">
      <c r="A266" s="2" t="s">
        <v>30</v>
      </c>
      <c r="B266" s="2">
        <v>2020</v>
      </c>
      <c r="C266" s="2" t="s">
        <v>42</v>
      </c>
      <c r="D266" s="2">
        <v>148.19999999999999</v>
      </c>
      <c r="E266" s="2">
        <v>190.3</v>
      </c>
      <c r="F266" s="2">
        <v>149.4</v>
      </c>
      <c r="G266" s="2">
        <v>153.30000000000001</v>
      </c>
      <c r="H266" s="2">
        <v>138.19999999999999</v>
      </c>
      <c r="I266" s="2">
        <v>143.19999999999999</v>
      </c>
      <c r="J266" s="2">
        <v>148.9</v>
      </c>
      <c r="K266" s="2">
        <v>150.30000000000001</v>
      </c>
      <c r="L266" s="2">
        <v>113.2</v>
      </c>
      <c r="M266" s="2">
        <v>159.80000000000001</v>
      </c>
      <c r="N266" s="2">
        <v>142.1</v>
      </c>
      <c r="O266" s="2">
        <v>161.80000000000001</v>
      </c>
      <c r="P266" s="2">
        <v>152.30000000000001</v>
      </c>
      <c r="Q266" s="2">
        <v>182.4</v>
      </c>
      <c r="R266" s="2">
        <v>154.69999999999999</v>
      </c>
      <c r="S266" s="2">
        <v>150</v>
      </c>
      <c r="T266" s="2">
        <v>154.1</v>
      </c>
      <c r="U266" s="2" t="s">
        <v>32</v>
      </c>
      <c r="V266" s="2">
        <v>144.9</v>
      </c>
      <c r="W266" s="2">
        <v>151.69999999999999</v>
      </c>
      <c r="X266" s="2">
        <v>158.19999999999999</v>
      </c>
      <c r="Y266" s="2">
        <v>141.4</v>
      </c>
      <c r="Z266" s="2">
        <v>153.19999999999999</v>
      </c>
      <c r="AA266" s="2">
        <v>161.80000000000001</v>
      </c>
      <c r="AB266" s="2">
        <v>151.19999999999999</v>
      </c>
      <c r="AC266" s="2">
        <v>151.69999999999999</v>
      </c>
      <c r="AD266" s="2">
        <v>152.69999999999999</v>
      </c>
    </row>
    <row r="267" spans="1:30" x14ac:dyDescent="0.35">
      <c r="A267" s="2" t="s">
        <v>33</v>
      </c>
      <c r="B267" s="2">
        <v>2020</v>
      </c>
      <c r="C267" s="2" t="s">
        <v>42</v>
      </c>
      <c r="D267" s="2">
        <v>152.69999999999999</v>
      </c>
      <c r="E267" s="2">
        <v>197</v>
      </c>
      <c r="F267" s="2">
        <v>154.6</v>
      </c>
      <c r="G267" s="2">
        <v>153.4</v>
      </c>
      <c r="H267" s="2">
        <v>132.9</v>
      </c>
      <c r="I267" s="2">
        <v>151.80000000000001</v>
      </c>
      <c r="J267" s="2">
        <v>171.2</v>
      </c>
      <c r="K267" s="2">
        <v>152</v>
      </c>
      <c r="L267" s="2">
        <v>116.3</v>
      </c>
      <c r="M267" s="2">
        <v>158.80000000000001</v>
      </c>
      <c r="N267" s="2">
        <v>135.6</v>
      </c>
      <c r="O267" s="2">
        <v>161.69999999999999</v>
      </c>
      <c r="P267" s="2">
        <v>157</v>
      </c>
      <c r="Q267" s="2">
        <v>186.7</v>
      </c>
      <c r="R267" s="2">
        <v>149.1</v>
      </c>
      <c r="S267" s="2">
        <v>136.6</v>
      </c>
      <c r="T267" s="2">
        <v>147.19999999999999</v>
      </c>
      <c r="U267" s="2" t="s">
        <v>131</v>
      </c>
      <c r="V267" s="2">
        <v>137.1</v>
      </c>
      <c r="W267" s="2">
        <v>140.4</v>
      </c>
      <c r="X267" s="2">
        <v>148.1</v>
      </c>
      <c r="Y267" s="2">
        <v>129.30000000000001</v>
      </c>
      <c r="Z267" s="2">
        <v>144.5</v>
      </c>
      <c r="AA267" s="2">
        <v>152.5</v>
      </c>
      <c r="AB267" s="2">
        <v>152.19999999999999</v>
      </c>
      <c r="AC267" s="2">
        <v>142</v>
      </c>
      <c r="AD267" s="2">
        <v>150.80000000000001</v>
      </c>
    </row>
    <row r="268" spans="1:30" x14ac:dyDescent="0.35">
      <c r="A268" s="2" t="s">
        <v>35</v>
      </c>
      <c r="B268" s="2">
        <v>2020</v>
      </c>
      <c r="C268" s="2" t="s">
        <v>42</v>
      </c>
      <c r="D268" s="2">
        <v>149.6</v>
      </c>
      <c r="E268" s="2">
        <v>192.7</v>
      </c>
      <c r="F268" s="2">
        <v>151.4</v>
      </c>
      <c r="G268" s="2">
        <v>153.30000000000001</v>
      </c>
      <c r="H268" s="2">
        <v>136.30000000000001</v>
      </c>
      <c r="I268" s="2">
        <v>147.19999999999999</v>
      </c>
      <c r="J268" s="2">
        <v>156.5</v>
      </c>
      <c r="K268" s="2">
        <v>150.9</v>
      </c>
      <c r="L268" s="2">
        <v>114.2</v>
      </c>
      <c r="M268" s="2">
        <v>159.5</v>
      </c>
      <c r="N268" s="2">
        <v>139.4</v>
      </c>
      <c r="O268" s="2">
        <v>161.80000000000001</v>
      </c>
      <c r="P268" s="2">
        <v>154</v>
      </c>
      <c r="Q268" s="2">
        <v>183.5</v>
      </c>
      <c r="R268" s="2">
        <v>152.5</v>
      </c>
      <c r="S268" s="2">
        <v>144.4</v>
      </c>
      <c r="T268" s="2">
        <v>151.4</v>
      </c>
      <c r="U268" s="2" t="s">
        <v>131</v>
      </c>
      <c r="V268" s="2">
        <v>141.9</v>
      </c>
      <c r="W268" s="2">
        <v>146.4</v>
      </c>
      <c r="X268" s="2">
        <v>154.4</v>
      </c>
      <c r="Y268" s="2">
        <v>135</v>
      </c>
      <c r="Z268" s="2">
        <v>148.30000000000001</v>
      </c>
      <c r="AA268" s="2">
        <v>156.4</v>
      </c>
      <c r="AB268" s="2">
        <v>151.6</v>
      </c>
      <c r="AC268" s="2">
        <v>147</v>
      </c>
      <c r="AD268" s="2">
        <v>151.80000000000001</v>
      </c>
    </row>
    <row r="269" spans="1:30" x14ac:dyDescent="0.35">
      <c r="A269" s="2" t="s">
        <v>30</v>
      </c>
      <c r="B269" s="2">
        <v>2020</v>
      </c>
      <c r="C269" s="2" t="s">
        <v>44</v>
      </c>
      <c r="D269" s="2">
        <v>148.19999999999999</v>
      </c>
      <c r="E269" s="2">
        <v>190.3</v>
      </c>
      <c r="F269" s="2">
        <v>149.4</v>
      </c>
      <c r="G269" s="2">
        <v>153.30000000000001</v>
      </c>
      <c r="H269" s="2">
        <v>138.19999999999999</v>
      </c>
      <c r="I269" s="2">
        <v>143.19999999999999</v>
      </c>
      <c r="J269" s="2">
        <v>148.9</v>
      </c>
      <c r="K269" s="2">
        <v>150.30000000000001</v>
      </c>
      <c r="L269" s="2">
        <v>113.2</v>
      </c>
      <c r="M269" s="2">
        <v>159.80000000000001</v>
      </c>
      <c r="N269" s="2">
        <v>142.1</v>
      </c>
      <c r="O269" s="2">
        <v>161.80000000000001</v>
      </c>
      <c r="P269" s="2">
        <v>152.30000000000001</v>
      </c>
      <c r="Q269" s="2">
        <v>182.4</v>
      </c>
      <c r="R269" s="2">
        <v>154.69999999999999</v>
      </c>
      <c r="S269" s="2">
        <v>150</v>
      </c>
      <c r="T269" s="2">
        <v>154.1</v>
      </c>
      <c r="U269" s="2" t="s">
        <v>32</v>
      </c>
      <c r="V269" s="2">
        <v>144.9</v>
      </c>
      <c r="W269" s="2">
        <v>151.69999999999999</v>
      </c>
      <c r="X269" s="2">
        <v>158.19999999999999</v>
      </c>
      <c r="Y269" s="2">
        <v>141.4</v>
      </c>
      <c r="Z269" s="2">
        <v>153.19999999999999</v>
      </c>
      <c r="AA269" s="2">
        <v>161.80000000000001</v>
      </c>
      <c r="AB269" s="2">
        <v>151.19999999999999</v>
      </c>
      <c r="AC269" s="2">
        <v>151.69999999999999</v>
      </c>
      <c r="AD269" s="2">
        <v>152.69999999999999</v>
      </c>
    </row>
    <row r="270" spans="1:30" x14ac:dyDescent="0.35">
      <c r="A270" s="2" t="s">
        <v>33</v>
      </c>
      <c r="B270" s="2">
        <v>2020</v>
      </c>
      <c r="C270" s="2" t="s">
        <v>44</v>
      </c>
      <c r="D270" s="2">
        <v>152.69999999999999</v>
      </c>
      <c r="E270" s="2">
        <v>197</v>
      </c>
      <c r="F270" s="2">
        <v>154.6</v>
      </c>
      <c r="G270" s="2">
        <v>153.4</v>
      </c>
      <c r="H270" s="2">
        <v>132.9</v>
      </c>
      <c r="I270" s="2">
        <v>151.80000000000001</v>
      </c>
      <c r="J270" s="2">
        <v>171.2</v>
      </c>
      <c r="K270" s="2">
        <v>152</v>
      </c>
      <c r="L270" s="2">
        <v>116.3</v>
      </c>
      <c r="M270" s="2">
        <v>158.80000000000001</v>
      </c>
      <c r="N270" s="2">
        <v>135.6</v>
      </c>
      <c r="O270" s="2">
        <v>161.69999999999999</v>
      </c>
      <c r="P270" s="2">
        <v>157</v>
      </c>
      <c r="Q270" s="2">
        <v>186.7</v>
      </c>
      <c r="R270" s="2">
        <v>149.1</v>
      </c>
      <c r="S270" s="2">
        <v>136.6</v>
      </c>
      <c r="T270" s="2">
        <v>147.19999999999999</v>
      </c>
      <c r="U270" s="2" t="s">
        <v>131</v>
      </c>
      <c r="V270" s="2">
        <v>137.1</v>
      </c>
      <c r="W270" s="2">
        <v>140.4</v>
      </c>
      <c r="X270" s="2">
        <v>148.1</v>
      </c>
      <c r="Y270" s="2">
        <v>129.30000000000001</v>
      </c>
      <c r="Z270" s="2">
        <v>144.5</v>
      </c>
      <c r="AA270" s="2">
        <v>152.5</v>
      </c>
      <c r="AB270" s="2">
        <v>152.19999999999999</v>
      </c>
      <c r="AC270" s="2">
        <v>142</v>
      </c>
      <c r="AD270" s="2">
        <v>150.80000000000001</v>
      </c>
    </row>
    <row r="271" spans="1:30" x14ac:dyDescent="0.35">
      <c r="A271" s="2" t="s">
        <v>35</v>
      </c>
      <c r="B271" s="2">
        <v>2020</v>
      </c>
      <c r="C271" s="2" t="s">
        <v>44</v>
      </c>
      <c r="D271" s="2">
        <v>149.6</v>
      </c>
      <c r="E271" s="2">
        <v>192.7</v>
      </c>
      <c r="F271" s="2">
        <v>151.4</v>
      </c>
      <c r="G271" s="2">
        <v>153.30000000000001</v>
      </c>
      <c r="H271" s="2">
        <v>136.30000000000001</v>
      </c>
      <c r="I271" s="2">
        <v>147.19999999999999</v>
      </c>
      <c r="J271" s="2">
        <v>156.5</v>
      </c>
      <c r="K271" s="2">
        <v>150.9</v>
      </c>
      <c r="L271" s="2">
        <v>114.2</v>
      </c>
      <c r="M271" s="2">
        <v>159.5</v>
      </c>
      <c r="N271" s="2">
        <v>139.4</v>
      </c>
      <c r="O271" s="2">
        <v>161.80000000000001</v>
      </c>
      <c r="P271" s="2">
        <v>154</v>
      </c>
      <c r="Q271" s="2">
        <v>183.5</v>
      </c>
      <c r="R271" s="2">
        <v>152.5</v>
      </c>
      <c r="S271" s="2">
        <v>144.4</v>
      </c>
      <c r="T271" s="2">
        <v>151.4</v>
      </c>
      <c r="U271" s="2" t="s">
        <v>131</v>
      </c>
      <c r="V271" s="2">
        <v>141.9</v>
      </c>
      <c r="W271" s="2">
        <v>146.4</v>
      </c>
      <c r="X271" s="2">
        <v>154.4</v>
      </c>
      <c r="Y271" s="2">
        <v>135</v>
      </c>
      <c r="Z271" s="2">
        <v>148.30000000000001</v>
      </c>
      <c r="AA271" s="2">
        <v>156.4</v>
      </c>
      <c r="AB271" s="2">
        <v>151.6</v>
      </c>
      <c r="AC271" s="2">
        <v>147</v>
      </c>
      <c r="AD271" s="2">
        <v>151.80000000000001</v>
      </c>
    </row>
    <row r="272" spans="1:30" x14ac:dyDescent="0.35">
      <c r="A272" s="2" t="s">
        <v>30</v>
      </c>
      <c r="B272" s="2">
        <v>2020</v>
      </c>
      <c r="C272" s="2" t="s">
        <v>46</v>
      </c>
      <c r="D272" s="2">
        <v>147.6</v>
      </c>
      <c r="E272" s="2">
        <v>187.2</v>
      </c>
      <c r="F272" s="2">
        <v>148.4</v>
      </c>
      <c r="G272" s="2">
        <v>153.30000000000001</v>
      </c>
      <c r="H272" s="2">
        <v>139.80000000000001</v>
      </c>
      <c r="I272" s="2">
        <v>146.9</v>
      </c>
      <c r="J272" s="2">
        <v>171</v>
      </c>
      <c r="K272" s="2">
        <v>149.9</v>
      </c>
      <c r="L272" s="2">
        <v>114.2</v>
      </c>
      <c r="M272" s="2">
        <v>160</v>
      </c>
      <c r="N272" s="2">
        <v>143.5</v>
      </c>
      <c r="O272" s="2">
        <v>161.5</v>
      </c>
      <c r="P272" s="2">
        <v>155.30000000000001</v>
      </c>
      <c r="Q272" s="2">
        <v>180.9</v>
      </c>
      <c r="R272" s="2">
        <v>155.1</v>
      </c>
      <c r="S272" s="2">
        <v>149.30000000000001</v>
      </c>
      <c r="T272" s="2">
        <v>154.30000000000001</v>
      </c>
      <c r="U272" s="2" t="s">
        <v>32</v>
      </c>
      <c r="V272" s="2">
        <v>145.80000000000001</v>
      </c>
      <c r="W272" s="2">
        <v>151.9</v>
      </c>
      <c r="X272" s="2">
        <v>158.80000000000001</v>
      </c>
      <c r="Y272" s="2">
        <v>143.6</v>
      </c>
      <c r="Z272" s="2">
        <v>152.19999999999999</v>
      </c>
      <c r="AA272" s="2">
        <v>162.69999999999999</v>
      </c>
      <c r="AB272" s="2">
        <v>153.6</v>
      </c>
      <c r="AC272" s="2">
        <v>153</v>
      </c>
      <c r="AD272" s="2">
        <v>154.69999999999999</v>
      </c>
    </row>
    <row r="273" spans="1:30" x14ac:dyDescent="0.35">
      <c r="A273" s="2" t="s">
        <v>33</v>
      </c>
      <c r="B273" s="2">
        <v>2020</v>
      </c>
      <c r="C273" s="2" t="s">
        <v>46</v>
      </c>
      <c r="D273" s="2">
        <v>151.6</v>
      </c>
      <c r="E273" s="2">
        <v>197.8</v>
      </c>
      <c r="F273" s="2">
        <v>154.5</v>
      </c>
      <c r="G273" s="2">
        <v>153.4</v>
      </c>
      <c r="H273" s="2">
        <v>133.4</v>
      </c>
      <c r="I273" s="2">
        <v>154.5</v>
      </c>
      <c r="J273" s="2">
        <v>191.9</v>
      </c>
      <c r="K273" s="2">
        <v>151.30000000000001</v>
      </c>
      <c r="L273" s="2">
        <v>116.8</v>
      </c>
      <c r="M273" s="2">
        <v>160</v>
      </c>
      <c r="N273" s="2">
        <v>136.5</v>
      </c>
      <c r="O273" s="2">
        <v>163.30000000000001</v>
      </c>
      <c r="P273" s="2">
        <v>159.9</v>
      </c>
      <c r="Q273" s="2">
        <v>187.2</v>
      </c>
      <c r="R273" s="2">
        <v>150</v>
      </c>
      <c r="S273" s="2">
        <v>135.19999999999999</v>
      </c>
      <c r="T273" s="2">
        <v>147.80000000000001</v>
      </c>
      <c r="U273" s="2" t="s">
        <v>132</v>
      </c>
      <c r="V273" s="2">
        <v>138.30000000000001</v>
      </c>
      <c r="W273" s="2">
        <v>144.5</v>
      </c>
      <c r="X273" s="2">
        <v>148.69999999999999</v>
      </c>
      <c r="Y273" s="2">
        <v>133.9</v>
      </c>
      <c r="Z273" s="2">
        <v>141.19999999999999</v>
      </c>
      <c r="AA273" s="2">
        <v>155.5</v>
      </c>
      <c r="AB273" s="2">
        <v>155.19999999999999</v>
      </c>
      <c r="AC273" s="2">
        <v>144.80000000000001</v>
      </c>
      <c r="AD273" s="2">
        <v>152.9</v>
      </c>
    </row>
    <row r="274" spans="1:30" x14ac:dyDescent="0.35">
      <c r="A274" s="2" t="s">
        <v>35</v>
      </c>
      <c r="B274" s="2">
        <v>2020</v>
      </c>
      <c r="C274" s="2" t="s">
        <v>46</v>
      </c>
      <c r="D274" s="2">
        <v>148.9</v>
      </c>
      <c r="E274" s="2">
        <v>190.9</v>
      </c>
      <c r="F274" s="2">
        <v>150.80000000000001</v>
      </c>
      <c r="G274" s="2">
        <v>153.30000000000001</v>
      </c>
      <c r="H274" s="2">
        <v>137.4</v>
      </c>
      <c r="I274" s="2">
        <v>150.4</v>
      </c>
      <c r="J274" s="2">
        <v>178.1</v>
      </c>
      <c r="K274" s="2">
        <v>150.4</v>
      </c>
      <c r="L274" s="2">
        <v>115.1</v>
      </c>
      <c r="M274" s="2">
        <v>160</v>
      </c>
      <c r="N274" s="2">
        <v>140.6</v>
      </c>
      <c r="O274" s="2">
        <v>162.30000000000001</v>
      </c>
      <c r="P274" s="2">
        <v>157</v>
      </c>
      <c r="Q274" s="2">
        <v>182.6</v>
      </c>
      <c r="R274" s="2">
        <v>153.1</v>
      </c>
      <c r="S274" s="2">
        <v>143.4</v>
      </c>
      <c r="T274" s="2">
        <v>151.69999999999999</v>
      </c>
      <c r="U274" s="2" t="s">
        <v>132</v>
      </c>
      <c r="V274" s="2">
        <v>143</v>
      </c>
      <c r="W274" s="2">
        <v>148.4</v>
      </c>
      <c r="X274" s="2">
        <v>155</v>
      </c>
      <c r="Y274" s="2">
        <v>138.5</v>
      </c>
      <c r="Z274" s="2">
        <v>146</v>
      </c>
      <c r="AA274" s="2">
        <v>158.5</v>
      </c>
      <c r="AB274" s="2">
        <v>154.30000000000001</v>
      </c>
      <c r="AC274" s="2">
        <v>149</v>
      </c>
      <c r="AD274" s="2">
        <v>153.9</v>
      </c>
    </row>
    <row r="275" spans="1:30" x14ac:dyDescent="0.35">
      <c r="A275" s="2" t="s">
        <v>30</v>
      </c>
      <c r="B275" s="2">
        <v>2020</v>
      </c>
      <c r="C275" s="2" t="s">
        <v>48</v>
      </c>
      <c r="D275" s="2">
        <v>146.9</v>
      </c>
      <c r="E275" s="2">
        <v>183.9</v>
      </c>
      <c r="F275" s="2">
        <v>149.5</v>
      </c>
      <c r="G275" s="2">
        <v>153.4</v>
      </c>
      <c r="H275" s="2">
        <v>140.4</v>
      </c>
      <c r="I275" s="2">
        <v>147</v>
      </c>
      <c r="J275" s="2">
        <v>178.8</v>
      </c>
      <c r="K275" s="2">
        <v>149.30000000000001</v>
      </c>
      <c r="L275" s="2">
        <v>115.1</v>
      </c>
      <c r="M275" s="2">
        <v>160</v>
      </c>
      <c r="N275" s="2">
        <v>145.4</v>
      </c>
      <c r="O275" s="2">
        <v>161.6</v>
      </c>
      <c r="P275" s="2">
        <v>156.1</v>
      </c>
      <c r="Q275" s="2">
        <v>182.9</v>
      </c>
      <c r="R275" s="2">
        <v>155.4</v>
      </c>
      <c r="S275" s="2">
        <v>149.9</v>
      </c>
      <c r="T275" s="2">
        <v>154.6</v>
      </c>
      <c r="U275" s="2" t="s">
        <v>32</v>
      </c>
      <c r="V275" s="2">
        <v>146.4</v>
      </c>
      <c r="W275" s="2">
        <v>151.6</v>
      </c>
      <c r="X275" s="2">
        <v>159.1</v>
      </c>
      <c r="Y275" s="2">
        <v>144.6</v>
      </c>
      <c r="Z275" s="2">
        <v>152.80000000000001</v>
      </c>
      <c r="AA275" s="2">
        <v>161.1</v>
      </c>
      <c r="AB275" s="2">
        <v>157.4</v>
      </c>
      <c r="AC275" s="2">
        <v>153.69999999999999</v>
      </c>
      <c r="AD275" s="2">
        <v>155.4</v>
      </c>
    </row>
    <row r="276" spans="1:30" x14ac:dyDescent="0.35">
      <c r="A276" s="2" t="s">
        <v>33</v>
      </c>
      <c r="B276" s="2">
        <v>2020</v>
      </c>
      <c r="C276" s="2" t="s">
        <v>48</v>
      </c>
      <c r="D276" s="2">
        <v>151.5</v>
      </c>
      <c r="E276" s="2">
        <v>193.1</v>
      </c>
      <c r="F276" s="2">
        <v>157.30000000000001</v>
      </c>
      <c r="G276" s="2">
        <v>153.9</v>
      </c>
      <c r="H276" s="2">
        <v>134.4</v>
      </c>
      <c r="I276" s="2">
        <v>155.4</v>
      </c>
      <c r="J276" s="2">
        <v>202</v>
      </c>
      <c r="K276" s="2">
        <v>150.80000000000001</v>
      </c>
      <c r="L276" s="2">
        <v>118.9</v>
      </c>
      <c r="M276" s="2">
        <v>160.9</v>
      </c>
      <c r="N276" s="2">
        <v>137.69999999999999</v>
      </c>
      <c r="O276" s="2">
        <v>164.4</v>
      </c>
      <c r="P276" s="2">
        <v>161.30000000000001</v>
      </c>
      <c r="Q276" s="2">
        <v>188.7</v>
      </c>
      <c r="R276" s="2">
        <v>150.19999999999999</v>
      </c>
      <c r="S276" s="2">
        <v>136.30000000000001</v>
      </c>
      <c r="T276" s="2">
        <v>148.1</v>
      </c>
      <c r="U276" s="2" t="s">
        <v>133</v>
      </c>
      <c r="V276" s="2">
        <v>137.19999999999999</v>
      </c>
      <c r="W276" s="2">
        <v>145.4</v>
      </c>
      <c r="X276" s="2">
        <v>150</v>
      </c>
      <c r="Y276" s="2">
        <v>135.1</v>
      </c>
      <c r="Z276" s="2">
        <v>141.80000000000001</v>
      </c>
      <c r="AA276" s="2">
        <v>154.9</v>
      </c>
      <c r="AB276" s="2">
        <v>159.80000000000001</v>
      </c>
      <c r="AC276" s="2">
        <v>146</v>
      </c>
      <c r="AD276" s="2">
        <v>154</v>
      </c>
    </row>
    <row r="277" spans="1:30" x14ac:dyDescent="0.35">
      <c r="A277" s="2" t="s">
        <v>35</v>
      </c>
      <c r="B277" s="2">
        <v>2020</v>
      </c>
      <c r="C277" s="2" t="s">
        <v>48</v>
      </c>
      <c r="D277" s="2">
        <v>148.4</v>
      </c>
      <c r="E277" s="2">
        <v>187.1</v>
      </c>
      <c r="F277" s="2">
        <v>152.5</v>
      </c>
      <c r="G277" s="2">
        <v>153.6</v>
      </c>
      <c r="H277" s="2">
        <v>138.19999999999999</v>
      </c>
      <c r="I277" s="2">
        <v>150.9</v>
      </c>
      <c r="J277" s="2">
        <v>186.7</v>
      </c>
      <c r="K277" s="2">
        <v>149.80000000000001</v>
      </c>
      <c r="L277" s="2">
        <v>116.4</v>
      </c>
      <c r="M277" s="2">
        <v>160.30000000000001</v>
      </c>
      <c r="N277" s="2">
        <v>142.19999999999999</v>
      </c>
      <c r="O277" s="2">
        <v>162.9</v>
      </c>
      <c r="P277" s="2">
        <v>158</v>
      </c>
      <c r="Q277" s="2">
        <v>184.4</v>
      </c>
      <c r="R277" s="2">
        <v>153.4</v>
      </c>
      <c r="S277" s="2">
        <v>144.30000000000001</v>
      </c>
      <c r="T277" s="2">
        <v>152</v>
      </c>
      <c r="U277" s="2" t="s">
        <v>133</v>
      </c>
      <c r="V277" s="2">
        <v>142.9</v>
      </c>
      <c r="W277" s="2">
        <v>148.69999999999999</v>
      </c>
      <c r="X277" s="2">
        <v>155.6</v>
      </c>
      <c r="Y277" s="2">
        <v>139.6</v>
      </c>
      <c r="Z277" s="2">
        <v>146.6</v>
      </c>
      <c r="AA277" s="2">
        <v>157.5</v>
      </c>
      <c r="AB277" s="2">
        <v>158.4</v>
      </c>
      <c r="AC277" s="2">
        <v>150</v>
      </c>
      <c r="AD277" s="2">
        <v>154.69999999999999</v>
      </c>
    </row>
    <row r="278" spans="1:30" x14ac:dyDescent="0.35">
      <c r="A278" s="2" t="s">
        <v>30</v>
      </c>
      <c r="B278" s="2">
        <v>2020</v>
      </c>
      <c r="C278" s="2" t="s">
        <v>50</v>
      </c>
      <c r="D278" s="2">
        <v>146</v>
      </c>
      <c r="E278" s="2">
        <v>186.3</v>
      </c>
      <c r="F278" s="2">
        <v>159.19999999999999</v>
      </c>
      <c r="G278" s="2">
        <v>153.6</v>
      </c>
      <c r="H278" s="2">
        <v>142.6</v>
      </c>
      <c r="I278" s="2">
        <v>147.19999999999999</v>
      </c>
      <c r="J278" s="2">
        <v>200.6</v>
      </c>
      <c r="K278" s="2">
        <v>150.30000000000001</v>
      </c>
      <c r="L278" s="2">
        <v>115.3</v>
      </c>
      <c r="M278" s="2">
        <v>160.9</v>
      </c>
      <c r="N278" s="2">
        <v>147.4</v>
      </c>
      <c r="O278" s="2">
        <v>161.9</v>
      </c>
      <c r="P278" s="2">
        <v>159.6</v>
      </c>
      <c r="Q278" s="2">
        <v>182.7</v>
      </c>
      <c r="R278" s="2">
        <v>155.69999999999999</v>
      </c>
      <c r="S278" s="2">
        <v>150.6</v>
      </c>
      <c r="T278" s="2">
        <v>155</v>
      </c>
      <c r="U278" s="2" t="s">
        <v>32</v>
      </c>
      <c r="V278" s="2">
        <v>146.80000000000001</v>
      </c>
      <c r="W278" s="2">
        <v>152</v>
      </c>
      <c r="X278" s="2">
        <v>159.5</v>
      </c>
      <c r="Y278" s="2">
        <v>146.4</v>
      </c>
      <c r="Z278" s="2">
        <v>152.4</v>
      </c>
      <c r="AA278" s="2">
        <v>162.5</v>
      </c>
      <c r="AB278" s="2">
        <v>156.19999999999999</v>
      </c>
      <c r="AC278" s="2">
        <v>154.30000000000001</v>
      </c>
      <c r="AD278" s="2">
        <v>157.5</v>
      </c>
    </row>
    <row r="279" spans="1:30" x14ac:dyDescent="0.35">
      <c r="A279" s="2" t="s">
        <v>33</v>
      </c>
      <c r="B279" s="2">
        <v>2020</v>
      </c>
      <c r="C279" s="2" t="s">
        <v>50</v>
      </c>
      <c r="D279" s="2">
        <v>150.6</v>
      </c>
      <c r="E279" s="2">
        <v>193.7</v>
      </c>
      <c r="F279" s="2">
        <v>164.8</v>
      </c>
      <c r="G279" s="2">
        <v>153.69999999999999</v>
      </c>
      <c r="H279" s="2">
        <v>135.69999999999999</v>
      </c>
      <c r="I279" s="2">
        <v>155.69999999999999</v>
      </c>
      <c r="J279" s="2">
        <v>226</v>
      </c>
      <c r="K279" s="2">
        <v>152.19999999999999</v>
      </c>
      <c r="L279" s="2">
        <v>118.1</v>
      </c>
      <c r="M279" s="2">
        <v>161.30000000000001</v>
      </c>
      <c r="N279" s="2">
        <v>139.19999999999999</v>
      </c>
      <c r="O279" s="2">
        <v>164.8</v>
      </c>
      <c r="P279" s="2">
        <v>164.4</v>
      </c>
      <c r="Q279" s="2">
        <v>188.7</v>
      </c>
      <c r="R279" s="2">
        <v>150.5</v>
      </c>
      <c r="S279" s="2">
        <v>136.1</v>
      </c>
      <c r="T279" s="2">
        <v>148.30000000000001</v>
      </c>
      <c r="U279" s="2" t="s">
        <v>134</v>
      </c>
      <c r="V279" s="2">
        <v>137.1</v>
      </c>
      <c r="W279" s="2">
        <v>145.1</v>
      </c>
      <c r="X279" s="2">
        <v>151</v>
      </c>
      <c r="Y279" s="2">
        <v>135.4</v>
      </c>
      <c r="Z279" s="2">
        <v>142</v>
      </c>
      <c r="AA279" s="2">
        <v>155.69999999999999</v>
      </c>
      <c r="AB279" s="2">
        <v>158.1</v>
      </c>
      <c r="AC279" s="2">
        <v>146.19999999999999</v>
      </c>
      <c r="AD279" s="2">
        <v>155.19999999999999</v>
      </c>
    </row>
    <row r="280" spans="1:30" x14ac:dyDescent="0.35">
      <c r="A280" s="2" t="s">
        <v>35</v>
      </c>
      <c r="B280" s="2">
        <v>2020</v>
      </c>
      <c r="C280" s="2" t="s">
        <v>50</v>
      </c>
      <c r="D280" s="2">
        <v>147.5</v>
      </c>
      <c r="E280" s="2">
        <v>188.9</v>
      </c>
      <c r="F280" s="2">
        <v>161.4</v>
      </c>
      <c r="G280" s="2">
        <v>153.6</v>
      </c>
      <c r="H280" s="2">
        <v>140.1</v>
      </c>
      <c r="I280" s="2">
        <v>151.19999999999999</v>
      </c>
      <c r="J280" s="2">
        <v>209.2</v>
      </c>
      <c r="K280" s="2">
        <v>150.9</v>
      </c>
      <c r="L280" s="2">
        <v>116.2</v>
      </c>
      <c r="M280" s="2">
        <v>161</v>
      </c>
      <c r="N280" s="2">
        <v>144</v>
      </c>
      <c r="O280" s="2">
        <v>163.19999999999999</v>
      </c>
      <c r="P280" s="2">
        <v>161.4</v>
      </c>
      <c r="Q280" s="2">
        <v>184.3</v>
      </c>
      <c r="R280" s="2">
        <v>153.69999999999999</v>
      </c>
      <c r="S280" s="2">
        <v>144.6</v>
      </c>
      <c r="T280" s="2">
        <v>152.30000000000001</v>
      </c>
      <c r="U280" s="2" t="s">
        <v>134</v>
      </c>
      <c r="V280" s="2">
        <v>143.1</v>
      </c>
      <c r="W280" s="2">
        <v>148.69999999999999</v>
      </c>
      <c r="X280" s="2">
        <v>156.30000000000001</v>
      </c>
      <c r="Y280" s="2">
        <v>140.6</v>
      </c>
      <c r="Z280" s="2">
        <v>146.5</v>
      </c>
      <c r="AA280" s="2">
        <v>158.5</v>
      </c>
      <c r="AB280" s="2">
        <v>157</v>
      </c>
      <c r="AC280" s="2">
        <v>150.4</v>
      </c>
      <c r="AD280" s="2">
        <v>156.4</v>
      </c>
    </row>
    <row r="281" spans="1:30" x14ac:dyDescent="0.35">
      <c r="A281" s="2" t="s">
        <v>30</v>
      </c>
      <c r="B281" s="2">
        <v>2020</v>
      </c>
      <c r="C281" s="2" t="s">
        <v>53</v>
      </c>
      <c r="D281" s="2">
        <v>145.4</v>
      </c>
      <c r="E281" s="2">
        <v>188.6</v>
      </c>
      <c r="F281" s="2">
        <v>171.6</v>
      </c>
      <c r="G281" s="2">
        <v>153.80000000000001</v>
      </c>
      <c r="H281" s="2">
        <v>145.4</v>
      </c>
      <c r="I281" s="2">
        <v>146.5</v>
      </c>
      <c r="J281" s="2">
        <v>222.2</v>
      </c>
      <c r="K281" s="2">
        <v>155.9</v>
      </c>
      <c r="L281" s="2">
        <v>114.9</v>
      </c>
      <c r="M281" s="2">
        <v>162</v>
      </c>
      <c r="N281" s="2">
        <v>150</v>
      </c>
      <c r="O281" s="2">
        <v>162.69999999999999</v>
      </c>
      <c r="P281" s="2">
        <v>163.4</v>
      </c>
      <c r="Q281" s="2">
        <v>183.4</v>
      </c>
      <c r="R281" s="2">
        <v>156.30000000000001</v>
      </c>
      <c r="S281" s="2">
        <v>151</v>
      </c>
      <c r="T281" s="2">
        <v>155.5</v>
      </c>
      <c r="U281" s="2" t="s">
        <v>32</v>
      </c>
      <c r="V281" s="2">
        <v>147.5</v>
      </c>
      <c r="W281" s="2">
        <v>152.80000000000001</v>
      </c>
      <c r="X281" s="2">
        <v>160.4</v>
      </c>
      <c r="Y281" s="2">
        <v>146.1</v>
      </c>
      <c r="Z281" s="2">
        <v>153.6</v>
      </c>
      <c r="AA281" s="2">
        <v>161.6</v>
      </c>
      <c r="AB281" s="2">
        <v>156.19999999999999</v>
      </c>
      <c r="AC281" s="2">
        <v>154.5</v>
      </c>
      <c r="AD281" s="2">
        <v>159.80000000000001</v>
      </c>
    </row>
    <row r="282" spans="1:30" x14ac:dyDescent="0.35">
      <c r="A282" s="2" t="s">
        <v>33</v>
      </c>
      <c r="B282" s="2">
        <v>2020</v>
      </c>
      <c r="C282" s="2" t="s">
        <v>53</v>
      </c>
      <c r="D282" s="2">
        <v>149.69999999999999</v>
      </c>
      <c r="E282" s="2">
        <v>195.5</v>
      </c>
      <c r="F282" s="2">
        <v>176.9</v>
      </c>
      <c r="G282" s="2">
        <v>153.9</v>
      </c>
      <c r="H282" s="2">
        <v>138</v>
      </c>
      <c r="I282" s="2">
        <v>150.5</v>
      </c>
      <c r="J282" s="2">
        <v>245.3</v>
      </c>
      <c r="K282" s="2">
        <v>158.69999999999999</v>
      </c>
      <c r="L282" s="2">
        <v>117.2</v>
      </c>
      <c r="M282" s="2">
        <v>161.4</v>
      </c>
      <c r="N282" s="2">
        <v>141.5</v>
      </c>
      <c r="O282" s="2">
        <v>165.1</v>
      </c>
      <c r="P282" s="2">
        <v>167</v>
      </c>
      <c r="Q282" s="2">
        <v>188.8</v>
      </c>
      <c r="R282" s="2">
        <v>151.1</v>
      </c>
      <c r="S282" s="2">
        <v>136.4</v>
      </c>
      <c r="T282" s="2">
        <v>148.80000000000001</v>
      </c>
      <c r="U282" s="2" t="s">
        <v>135</v>
      </c>
      <c r="V282" s="2">
        <v>137.30000000000001</v>
      </c>
      <c r="W282" s="2">
        <v>145.1</v>
      </c>
      <c r="X282" s="2">
        <v>152</v>
      </c>
      <c r="Y282" s="2">
        <v>135.19999999999999</v>
      </c>
      <c r="Z282" s="2">
        <v>144.4</v>
      </c>
      <c r="AA282" s="2">
        <v>156.4</v>
      </c>
      <c r="AB282" s="2">
        <v>157.9</v>
      </c>
      <c r="AC282" s="2">
        <v>146.6</v>
      </c>
      <c r="AD282" s="2">
        <v>156.69999999999999</v>
      </c>
    </row>
    <row r="283" spans="1:30" x14ac:dyDescent="0.35">
      <c r="A283" s="2" t="s">
        <v>35</v>
      </c>
      <c r="B283" s="2">
        <v>2020</v>
      </c>
      <c r="C283" s="2" t="s">
        <v>53</v>
      </c>
      <c r="D283" s="2">
        <v>146.80000000000001</v>
      </c>
      <c r="E283" s="2">
        <v>191</v>
      </c>
      <c r="F283" s="2">
        <v>173.6</v>
      </c>
      <c r="G283" s="2">
        <v>153.80000000000001</v>
      </c>
      <c r="H283" s="2">
        <v>142.69999999999999</v>
      </c>
      <c r="I283" s="2">
        <v>148.4</v>
      </c>
      <c r="J283" s="2">
        <v>230</v>
      </c>
      <c r="K283" s="2">
        <v>156.80000000000001</v>
      </c>
      <c r="L283" s="2">
        <v>115.7</v>
      </c>
      <c r="M283" s="2">
        <v>161.80000000000001</v>
      </c>
      <c r="N283" s="2">
        <v>146.5</v>
      </c>
      <c r="O283" s="2">
        <v>163.80000000000001</v>
      </c>
      <c r="P283" s="2">
        <v>164.7</v>
      </c>
      <c r="Q283" s="2">
        <v>184.8</v>
      </c>
      <c r="R283" s="2">
        <v>154.30000000000001</v>
      </c>
      <c r="S283" s="2">
        <v>144.9</v>
      </c>
      <c r="T283" s="2">
        <v>152.80000000000001</v>
      </c>
      <c r="U283" s="2" t="s">
        <v>135</v>
      </c>
      <c r="V283" s="2">
        <v>143.6</v>
      </c>
      <c r="W283" s="2">
        <v>149.19999999999999</v>
      </c>
      <c r="X283" s="2">
        <v>157.19999999999999</v>
      </c>
      <c r="Y283" s="2">
        <v>140.4</v>
      </c>
      <c r="Z283" s="2">
        <v>148.4</v>
      </c>
      <c r="AA283" s="2">
        <v>158.6</v>
      </c>
      <c r="AB283" s="2">
        <v>156.9</v>
      </c>
      <c r="AC283" s="2">
        <v>150.69999999999999</v>
      </c>
      <c r="AD283" s="2">
        <v>158.4</v>
      </c>
    </row>
    <row r="284" spans="1:30" x14ac:dyDescent="0.35">
      <c r="A284" s="2" t="s">
        <v>30</v>
      </c>
      <c r="B284" s="2">
        <v>2020</v>
      </c>
      <c r="C284" s="2" t="s">
        <v>55</v>
      </c>
      <c r="D284" s="2">
        <v>144.6</v>
      </c>
      <c r="E284" s="2">
        <v>188.5</v>
      </c>
      <c r="F284" s="2">
        <v>173.4</v>
      </c>
      <c r="G284" s="2">
        <v>154</v>
      </c>
      <c r="H284" s="2">
        <v>150</v>
      </c>
      <c r="I284" s="2">
        <v>145.9</v>
      </c>
      <c r="J284" s="2">
        <v>225.2</v>
      </c>
      <c r="K284" s="2">
        <v>159.5</v>
      </c>
      <c r="L284" s="2">
        <v>114.4</v>
      </c>
      <c r="M284" s="2">
        <v>163.5</v>
      </c>
      <c r="N284" s="2">
        <v>153.4</v>
      </c>
      <c r="O284" s="2">
        <v>163.6</v>
      </c>
      <c r="P284" s="2">
        <v>164.5</v>
      </c>
      <c r="Q284" s="2">
        <v>183.6</v>
      </c>
      <c r="R284" s="2">
        <v>157</v>
      </c>
      <c r="S284" s="2">
        <v>151.6</v>
      </c>
      <c r="T284" s="2">
        <v>156.30000000000001</v>
      </c>
      <c r="U284" s="2" t="s">
        <v>32</v>
      </c>
      <c r="V284" s="2">
        <v>148.69999999999999</v>
      </c>
      <c r="W284" s="2">
        <v>153.4</v>
      </c>
      <c r="X284" s="2">
        <v>161.6</v>
      </c>
      <c r="Y284" s="2">
        <v>146.4</v>
      </c>
      <c r="Z284" s="2">
        <v>153.9</v>
      </c>
      <c r="AA284" s="2">
        <v>162.9</v>
      </c>
      <c r="AB284" s="2">
        <v>156.6</v>
      </c>
      <c r="AC284" s="2">
        <v>155.19999999999999</v>
      </c>
      <c r="AD284" s="2">
        <v>160.69999999999999</v>
      </c>
    </row>
    <row r="285" spans="1:30" x14ac:dyDescent="0.35">
      <c r="A285" s="2" t="s">
        <v>33</v>
      </c>
      <c r="B285" s="2">
        <v>2020</v>
      </c>
      <c r="C285" s="2" t="s">
        <v>55</v>
      </c>
      <c r="D285" s="2">
        <v>149</v>
      </c>
      <c r="E285" s="2">
        <v>195.7</v>
      </c>
      <c r="F285" s="2">
        <v>178.3</v>
      </c>
      <c r="G285" s="2">
        <v>154.19999999999999</v>
      </c>
      <c r="H285" s="2">
        <v>140.69999999999999</v>
      </c>
      <c r="I285" s="2">
        <v>149.69999999999999</v>
      </c>
      <c r="J285" s="2">
        <v>240.9</v>
      </c>
      <c r="K285" s="2">
        <v>161.5</v>
      </c>
      <c r="L285" s="2">
        <v>117.1</v>
      </c>
      <c r="M285" s="2">
        <v>161.9</v>
      </c>
      <c r="N285" s="2">
        <v>143.30000000000001</v>
      </c>
      <c r="O285" s="2">
        <v>166.1</v>
      </c>
      <c r="P285" s="2">
        <v>167</v>
      </c>
      <c r="Q285" s="2">
        <v>190.2</v>
      </c>
      <c r="R285" s="2">
        <v>151.9</v>
      </c>
      <c r="S285" s="2">
        <v>136.69999999999999</v>
      </c>
      <c r="T285" s="2">
        <v>149.6</v>
      </c>
      <c r="U285" s="2" t="s">
        <v>136</v>
      </c>
      <c r="V285" s="2">
        <v>137.9</v>
      </c>
      <c r="W285" s="2">
        <v>145.5</v>
      </c>
      <c r="X285" s="2">
        <v>152.9</v>
      </c>
      <c r="Y285" s="2">
        <v>135.5</v>
      </c>
      <c r="Z285" s="2">
        <v>144.30000000000001</v>
      </c>
      <c r="AA285" s="2">
        <v>156.9</v>
      </c>
      <c r="AB285" s="2">
        <v>157.9</v>
      </c>
      <c r="AC285" s="2">
        <v>146.9</v>
      </c>
      <c r="AD285" s="2">
        <v>156.9</v>
      </c>
    </row>
    <row r="286" spans="1:30" x14ac:dyDescent="0.35">
      <c r="A286" s="2" t="s">
        <v>35</v>
      </c>
      <c r="B286" s="2">
        <v>2020</v>
      </c>
      <c r="C286" s="2" t="s">
        <v>55</v>
      </c>
      <c r="D286" s="2">
        <v>146</v>
      </c>
      <c r="E286" s="2">
        <v>191</v>
      </c>
      <c r="F286" s="2">
        <v>175.3</v>
      </c>
      <c r="G286" s="2">
        <v>154.1</v>
      </c>
      <c r="H286" s="2">
        <v>146.6</v>
      </c>
      <c r="I286" s="2">
        <v>147.69999999999999</v>
      </c>
      <c r="J286" s="2">
        <v>230.5</v>
      </c>
      <c r="K286" s="2">
        <v>160.19999999999999</v>
      </c>
      <c r="L286" s="2">
        <v>115.3</v>
      </c>
      <c r="M286" s="2">
        <v>163</v>
      </c>
      <c r="N286" s="2">
        <v>149.19999999999999</v>
      </c>
      <c r="O286" s="2">
        <v>164.8</v>
      </c>
      <c r="P286" s="2">
        <v>165.4</v>
      </c>
      <c r="Q286" s="2">
        <v>185.4</v>
      </c>
      <c r="R286" s="2">
        <v>155</v>
      </c>
      <c r="S286" s="2">
        <v>145.4</v>
      </c>
      <c r="T286" s="2">
        <v>153.6</v>
      </c>
      <c r="U286" s="2" t="s">
        <v>136</v>
      </c>
      <c r="V286" s="2">
        <v>144.6</v>
      </c>
      <c r="W286" s="2">
        <v>149.69999999999999</v>
      </c>
      <c r="X286" s="2">
        <v>158.30000000000001</v>
      </c>
      <c r="Y286" s="2">
        <v>140.69999999999999</v>
      </c>
      <c r="Z286" s="2">
        <v>148.5</v>
      </c>
      <c r="AA286" s="2">
        <v>159.4</v>
      </c>
      <c r="AB286" s="2">
        <v>157.1</v>
      </c>
      <c r="AC286" s="2">
        <v>151.19999999999999</v>
      </c>
      <c r="AD286" s="2">
        <v>158.9</v>
      </c>
    </row>
    <row r="287" spans="1:30" x14ac:dyDescent="0.35">
      <c r="A287" s="2" t="s">
        <v>30</v>
      </c>
      <c r="B287" s="2">
        <v>2021</v>
      </c>
      <c r="C287" s="2" t="s">
        <v>31</v>
      </c>
      <c r="D287" s="2">
        <v>143.4</v>
      </c>
      <c r="E287" s="2">
        <v>187.5</v>
      </c>
      <c r="F287" s="2">
        <v>173.4</v>
      </c>
      <c r="G287" s="2">
        <v>154</v>
      </c>
      <c r="H287" s="2">
        <v>154.80000000000001</v>
      </c>
      <c r="I287" s="2">
        <v>147</v>
      </c>
      <c r="J287" s="2">
        <v>187.8</v>
      </c>
      <c r="K287" s="2">
        <v>159.5</v>
      </c>
      <c r="L287" s="2">
        <v>113.8</v>
      </c>
      <c r="M287" s="2">
        <v>164.5</v>
      </c>
      <c r="N287" s="2">
        <v>156.1</v>
      </c>
      <c r="O287" s="2">
        <v>164.3</v>
      </c>
      <c r="P287" s="2">
        <v>159.6</v>
      </c>
      <c r="Q287" s="2">
        <v>184.6</v>
      </c>
      <c r="R287" s="2">
        <v>157.5</v>
      </c>
      <c r="S287" s="2">
        <v>152.4</v>
      </c>
      <c r="T287" s="2">
        <v>156.80000000000001</v>
      </c>
      <c r="U287" s="2" t="s">
        <v>32</v>
      </c>
      <c r="V287" s="2">
        <v>150.9</v>
      </c>
      <c r="W287" s="2">
        <v>153.9</v>
      </c>
      <c r="X287" s="2">
        <v>162.5</v>
      </c>
      <c r="Y287" s="2">
        <v>147.5</v>
      </c>
      <c r="Z287" s="2">
        <v>155.1</v>
      </c>
      <c r="AA287" s="2">
        <v>163.5</v>
      </c>
      <c r="AB287" s="2">
        <v>156.19999999999999</v>
      </c>
      <c r="AC287" s="2">
        <v>155.9</v>
      </c>
      <c r="AD287" s="2">
        <v>158.5</v>
      </c>
    </row>
    <row r="288" spans="1:30" x14ac:dyDescent="0.35">
      <c r="A288" s="2" t="s">
        <v>33</v>
      </c>
      <c r="B288" s="2">
        <v>2021</v>
      </c>
      <c r="C288" s="2" t="s">
        <v>31</v>
      </c>
      <c r="D288" s="2">
        <v>148</v>
      </c>
      <c r="E288" s="2">
        <v>194.8</v>
      </c>
      <c r="F288" s="2">
        <v>178.4</v>
      </c>
      <c r="G288" s="2">
        <v>154.4</v>
      </c>
      <c r="H288" s="2">
        <v>144.1</v>
      </c>
      <c r="I288" s="2">
        <v>152.6</v>
      </c>
      <c r="J288" s="2">
        <v>206.8</v>
      </c>
      <c r="K288" s="2">
        <v>162.1</v>
      </c>
      <c r="L288" s="2">
        <v>116.3</v>
      </c>
      <c r="M288" s="2">
        <v>163</v>
      </c>
      <c r="N288" s="2">
        <v>145.9</v>
      </c>
      <c r="O288" s="2">
        <v>167.2</v>
      </c>
      <c r="P288" s="2">
        <v>163.4</v>
      </c>
      <c r="Q288" s="2">
        <v>191.8</v>
      </c>
      <c r="R288" s="2">
        <v>152.5</v>
      </c>
      <c r="S288" s="2">
        <v>137.30000000000001</v>
      </c>
      <c r="T288" s="2">
        <v>150.19999999999999</v>
      </c>
      <c r="U288" s="2" t="s">
        <v>137</v>
      </c>
      <c r="V288" s="2">
        <v>142.9</v>
      </c>
      <c r="W288" s="2">
        <v>145.69999999999999</v>
      </c>
      <c r="X288" s="2">
        <v>154.1</v>
      </c>
      <c r="Y288" s="2">
        <v>136.9</v>
      </c>
      <c r="Z288" s="2">
        <v>145.4</v>
      </c>
      <c r="AA288" s="2">
        <v>156.1</v>
      </c>
      <c r="AB288" s="2">
        <v>157.69999999999999</v>
      </c>
      <c r="AC288" s="2">
        <v>147.6</v>
      </c>
      <c r="AD288" s="2">
        <v>156</v>
      </c>
    </row>
    <row r="289" spans="1:30" x14ac:dyDescent="0.35">
      <c r="A289" s="2" t="s">
        <v>35</v>
      </c>
      <c r="B289" s="2">
        <v>2021</v>
      </c>
      <c r="C289" s="2" t="s">
        <v>31</v>
      </c>
      <c r="D289" s="2">
        <v>144.9</v>
      </c>
      <c r="E289" s="2">
        <v>190.1</v>
      </c>
      <c r="F289" s="2">
        <v>175.3</v>
      </c>
      <c r="G289" s="2">
        <v>154.1</v>
      </c>
      <c r="H289" s="2">
        <v>150.9</v>
      </c>
      <c r="I289" s="2">
        <v>149.6</v>
      </c>
      <c r="J289" s="2">
        <v>194.2</v>
      </c>
      <c r="K289" s="2">
        <v>160.4</v>
      </c>
      <c r="L289" s="2">
        <v>114.6</v>
      </c>
      <c r="M289" s="2">
        <v>164</v>
      </c>
      <c r="N289" s="2">
        <v>151.80000000000001</v>
      </c>
      <c r="O289" s="2">
        <v>165.6</v>
      </c>
      <c r="P289" s="2">
        <v>161</v>
      </c>
      <c r="Q289" s="2">
        <v>186.5</v>
      </c>
      <c r="R289" s="2">
        <v>155.5</v>
      </c>
      <c r="S289" s="2">
        <v>146.1</v>
      </c>
      <c r="T289" s="2">
        <v>154.19999999999999</v>
      </c>
      <c r="U289" s="2" t="s">
        <v>137</v>
      </c>
      <c r="V289" s="2">
        <v>147.9</v>
      </c>
      <c r="W289" s="2">
        <v>150</v>
      </c>
      <c r="X289" s="2">
        <v>159.30000000000001</v>
      </c>
      <c r="Y289" s="2">
        <v>141.9</v>
      </c>
      <c r="Z289" s="2">
        <v>149.6</v>
      </c>
      <c r="AA289" s="2">
        <v>159.19999999999999</v>
      </c>
      <c r="AB289" s="2">
        <v>156.80000000000001</v>
      </c>
      <c r="AC289" s="2">
        <v>151.9</v>
      </c>
      <c r="AD289" s="2">
        <v>157.30000000000001</v>
      </c>
    </row>
    <row r="290" spans="1:30" x14ac:dyDescent="0.35">
      <c r="A290" s="2" t="s">
        <v>30</v>
      </c>
      <c r="B290" s="2">
        <v>2021</v>
      </c>
      <c r="C290" s="2" t="s">
        <v>36</v>
      </c>
      <c r="D290" s="2">
        <v>142.80000000000001</v>
      </c>
      <c r="E290" s="2">
        <v>184</v>
      </c>
      <c r="F290" s="2">
        <v>168</v>
      </c>
      <c r="G290" s="2">
        <v>154.4</v>
      </c>
      <c r="H290" s="2">
        <v>163</v>
      </c>
      <c r="I290" s="2">
        <v>147.80000000000001</v>
      </c>
      <c r="J290" s="2">
        <v>149.69999999999999</v>
      </c>
      <c r="K290" s="2">
        <v>158.30000000000001</v>
      </c>
      <c r="L290" s="2">
        <v>111.8</v>
      </c>
      <c r="M290" s="2">
        <v>165</v>
      </c>
      <c r="N290" s="2">
        <v>160</v>
      </c>
      <c r="O290" s="2">
        <v>165.8</v>
      </c>
      <c r="P290" s="2">
        <v>154.69999999999999</v>
      </c>
      <c r="Q290" s="2">
        <v>186.5</v>
      </c>
      <c r="R290" s="2">
        <v>159.1</v>
      </c>
      <c r="S290" s="2">
        <v>153.9</v>
      </c>
      <c r="T290" s="2">
        <v>158.4</v>
      </c>
      <c r="U290" s="2" t="s">
        <v>32</v>
      </c>
      <c r="V290" s="2">
        <v>154.4</v>
      </c>
      <c r="W290" s="2">
        <v>154.80000000000001</v>
      </c>
      <c r="X290" s="2">
        <v>164.3</v>
      </c>
      <c r="Y290" s="2">
        <v>150.19999999999999</v>
      </c>
      <c r="Z290" s="2">
        <v>157</v>
      </c>
      <c r="AA290" s="2">
        <v>163.6</v>
      </c>
      <c r="AB290" s="2">
        <v>155.19999999999999</v>
      </c>
      <c r="AC290" s="2">
        <v>157.19999999999999</v>
      </c>
      <c r="AD290" s="2">
        <v>156.69999999999999</v>
      </c>
    </row>
    <row r="291" spans="1:30" x14ac:dyDescent="0.35">
      <c r="A291" s="2" t="s">
        <v>33</v>
      </c>
      <c r="B291" s="2">
        <v>2021</v>
      </c>
      <c r="C291" s="2" t="s">
        <v>36</v>
      </c>
      <c r="D291" s="2">
        <v>147.6</v>
      </c>
      <c r="E291" s="2">
        <v>191.2</v>
      </c>
      <c r="F291" s="2">
        <v>169.9</v>
      </c>
      <c r="G291" s="2">
        <v>155.1</v>
      </c>
      <c r="H291" s="2">
        <v>151.4</v>
      </c>
      <c r="I291" s="2">
        <v>154</v>
      </c>
      <c r="J291" s="2">
        <v>180.2</v>
      </c>
      <c r="K291" s="2">
        <v>159.80000000000001</v>
      </c>
      <c r="L291" s="2">
        <v>114.9</v>
      </c>
      <c r="M291" s="2">
        <v>162.5</v>
      </c>
      <c r="N291" s="2">
        <v>149.19999999999999</v>
      </c>
      <c r="O291" s="2">
        <v>169.4</v>
      </c>
      <c r="P291" s="2">
        <v>160.80000000000001</v>
      </c>
      <c r="Q291" s="2">
        <v>193.3</v>
      </c>
      <c r="R291" s="2">
        <v>154.19999999999999</v>
      </c>
      <c r="S291" s="2">
        <v>138.19999999999999</v>
      </c>
      <c r="T291" s="2">
        <v>151.80000000000001</v>
      </c>
      <c r="U291" s="2" t="s">
        <v>138</v>
      </c>
      <c r="V291" s="2">
        <v>149.1</v>
      </c>
      <c r="W291" s="2">
        <v>146.5</v>
      </c>
      <c r="X291" s="2">
        <v>156.30000000000001</v>
      </c>
      <c r="Y291" s="2">
        <v>140.5</v>
      </c>
      <c r="Z291" s="2">
        <v>147.30000000000001</v>
      </c>
      <c r="AA291" s="2">
        <v>156.6</v>
      </c>
      <c r="AB291" s="2">
        <v>156.69999999999999</v>
      </c>
      <c r="AC291" s="2">
        <v>149.30000000000001</v>
      </c>
      <c r="AD291" s="2">
        <v>156.5</v>
      </c>
    </row>
    <row r="292" spans="1:30" x14ac:dyDescent="0.35">
      <c r="A292" s="2" t="s">
        <v>35</v>
      </c>
      <c r="B292" s="2">
        <v>2021</v>
      </c>
      <c r="C292" s="2" t="s">
        <v>36</v>
      </c>
      <c r="D292" s="2">
        <v>144.30000000000001</v>
      </c>
      <c r="E292" s="2">
        <v>186.5</v>
      </c>
      <c r="F292" s="2">
        <v>168.7</v>
      </c>
      <c r="G292" s="2">
        <v>154.69999999999999</v>
      </c>
      <c r="H292" s="2">
        <v>158.69999999999999</v>
      </c>
      <c r="I292" s="2">
        <v>150.69999999999999</v>
      </c>
      <c r="J292" s="2">
        <v>160</v>
      </c>
      <c r="K292" s="2">
        <v>158.80000000000001</v>
      </c>
      <c r="L292" s="2">
        <v>112.8</v>
      </c>
      <c r="M292" s="2">
        <v>164.2</v>
      </c>
      <c r="N292" s="2">
        <v>155.5</v>
      </c>
      <c r="O292" s="2">
        <v>167.5</v>
      </c>
      <c r="P292" s="2">
        <v>156.9</v>
      </c>
      <c r="Q292" s="2">
        <v>188.3</v>
      </c>
      <c r="R292" s="2">
        <v>157.19999999999999</v>
      </c>
      <c r="S292" s="2">
        <v>147.4</v>
      </c>
      <c r="T292" s="2">
        <v>155.80000000000001</v>
      </c>
      <c r="U292" s="2" t="s">
        <v>138</v>
      </c>
      <c r="V292" s="2">
        <v>152.4</v>
      </c>
      <c r="W292" s="2">
        <v>150.9</v>
      </c>
      <c r="X292" s="2">
        <v>161.30000000000001</v>
      </c>
      <c r="Y292" s="2">
        <v>145.1</v>
      </c>
      <c r="Z292" s="2">
        <v>151.5</v>
      </c>
      <c r="AA292" s="2">
        <v>159.5</v>
      </c>
      <c r="AB292" s="2">
        <v>155.80000000000001</v>
      </c>
      <c r="AC292" s="2">
        <v>153.4</v>
      </c>
      <c r="AD292" s="2">
        <v>156.6</v>
      </c>
    </row>
    <row r="293" spans="1:30" x14ac:dyDescent="0.35">
      <c r="A293" s="2" t="s">
        <v>30</v>
      </c>
      <c r="B293" s="2">
        <v>2021</v>
      </c>
      <c r="C293" s="2" t="s">
        <v>38</v>
      </c>
      <c r="D293" s="2">
        <v>142.5</v>
      </c>
      <c r="E293" s="2">
        <v>189.4</v>
      </c>
      <c r="F293" s="2">
        <v>163.19999999999999</v>
      </c>
      <c r="G293" s="2">
        <v>154.5</v>
      </c>
      <c r="H293" s="2">
        <v>168.2</v>
      </c>
      <c r="I293" s="2">
        <v>150.5</v>
      </c>
      <c r="J293" s="2">
        <v>141</v>
      </c>
      <c r="K293" s="2">
        <v>159.19999999999999</v>
      </c>
      <c r="L293" s="2">
        <v>111.7</v>
      </c>
      <c r="M293" s="2">
        <v>164</v>
      </c>
      <c r="N293" s="2">
        <v>160.6</v>
      </c>
      <c r="O293" s="2">
        <v>166.4</v>
      </c>
      <c r="P293" s="2">
        <v>154.5</v>
      </c>
      <c r="Q293" s="2">
        <v>186.1</v>
      </c>
      <c r="R293" s="2">
        <v>159.6</v>
      </c>
      <c r="S293" s="2">
        <v>154.4</v>
      </c>
      <c r="T293" s="2">
        <v>158.9</v>
      </c>
      <c r="U293" s="2" t="s">
        <v>139</v>
      </c>
      <c r="V293" s="2">
        <v>156</v>
      </c>
      <c r="W293" s="2">
        <v>154.80000000000001</v>
      </c>
      <c r="X293" s="2">
        <v>164.6</v>
      </c>
      <c r="Y293" s="2">
        <v>151.30000000000001</v>
      </c>
      <c r="Z293" s="2">
        <v>157.80000000000001</v>
      </c>
      <c r="AA293" s="2">
        <v>163.80000000000001</v>
      </c>
      <c r="AB293" s="2">
        <v>153.1</v>
      </c>
      <c r="AC293" s="2">
        <v>157.30000000000001</v>
      </c>
      <c r="AD293" s="2">
        <v>156.69999999999999</v>
      </c>
    </row>
    <row r="294" spans="1:30" x14ac:dyDescent="0.35">
      <c r="A294" s="2" t="s">
        <v>33</v>
      </c>
      <c r="B294" s="2">
        <v>2021</v>
      </c>
      <c r="C294" s="2" t="s">
        <v>38</v>
      </c>
      <c r="D294" s="2">
        <v>147.5</v>
      </c>
      <c r="E294" s="2">
        <v>197.5</v>
      </c>
      <c r="F294" s="2">
        <v>164.7</v>
      </c>
      <c r="G294" s="2">
        <v>155.6</v>
      </c>
      <c r="H294" s="2">
        <v>156.4</v>
      </c>
      <c r="I294" s="2">
        <v>157.30000000000001</v>
      </c>
      <c r="J294" s="2">
        <v>166.1</v>
      </c>
      <c r="K294" s="2">
        <v>161.1</v>
      </c>
      <c r="L294" s="2">
        <v>114.3</v>
      </c>
      <c r="M294" s="2">
        <v>162.6</v>
      </c>
      <c r="N294" s="2">
        <v>150.69999999999999</v>
      </c>
      <c r="O294" s="2">
        <v>170.3</v>
      </c>
      <c r="P294" s="2">
        <v>160.4</v>
      </c>
      <c r="Q294" s="2">
        <v>193.5</v>
      </c>
      <c r="R294" s="2">
        <v>155.1</v>
      </c>
      <c r="S294" s="2">
        <v>138.69999999999999</v>
      </c>
      <c r="T294" s="2">
        <v>152.6</v>
      </c>
      <c r="U294" s="2" t="s">
        <v>140</v>
      </c>
      <c r="V294" s="2">
        <v>154.80000000000001</v>
      </c>
      <c r="W294" s="2">
        <v>147.19999999999999</v>
      </c>
      <c r="X294" s="2">
        <v>156.9</v>
      </c>
      <c r="Y294" s="2">
        <v>141.69999999999999</v>
      </c>
      <c r="Z294" s="2">
        <v>148.6</v>
      </c>
      <c r="AA294" s="2">
        <v>157.6</v>
      </c>
      <c r="AB294" s="2">
        <v>154.9</v>
      </c>
      <c r="AC294" s="2">
        <v>150</v>
      </c>
      <c r="AD294" s="2">
        <v>156.9</v>
      </c>
    </row>
    <row r="295" spans="1:30" x14ac:dyDescent="0.35">
      <c r="A295" s="2" t="s">
        <v>35</v>
      </c>
      <c r="B295" s="2">
        <v>2021</v>
      </c>
      <c r="C295" s="2" t="s">
        <v>38</v>
      </c>
      <c r="D295" s="2">
        <v>144.1</v>
      </c>
      <c r="E295" s="2">
        <v>192.2</v>
      </c>
      <c r="F295" s="2">
        <v>163.80000000000001</v>
      </c>
      <c r="G295" s="2">
        <v>154.9</v>
      </c>
      <c r="H295" s="2">
        <v>163.9</v>
      </c>
      <c r="I295" s="2">
        <v>153.69999999999999</v>
      </c>
      <c r="J295" s="2">
        <v>149.5</v>
      </c>
      <c r="K295" s="2">
        <v>159.80000000000001</v>
      </c>
      <c r="L295" s="2">
        <v>112.6</v>
      </c>
      <c r="M295" s="2">
        <v>163.5</v>
      </c>
      <c r="N295" s="2">
        <v>156.5</v>
      </c>
      <c r="O295" s="2">
        <v>168.2</v>
      </c>
      <c r="P295" s="2">
        <v>156.69999999999999</v>
      </c>
      <c r="Q295" s="2">
        <v>188.1</v>
      </c>
      <c r="R295" s="2">
        <v>157.80000000000001</v>
      </c>
      <c r="S295" s="2">
        <v>147.9</v>
      </c>
      <c r="T295" s="2">
        <v>156.4</v>
      </c>
      <c r="U295" s="2" t="s">
        <v>140</v>
      </c>
      <c r="V295" s="2">
        <v>155.5</v>
      </c>
      <c r="W295" s="2">
        <v>151.19999999999999</v>
      </c>
      <c r="X295" s="2">
        <v>161.69999999999999</v>
      </c>
      <c r="Y295" s="2">
        <v>146.19999999999999</v>
      </c>
      <c r="Z295" s="2">
        <v>152.6</v>
      </c>
      <c r="AA295" s="2">
        <v>160.19999999999999</v>
      </c>
      <c r="AB295" s="2">
        <v>153.80000000000001</v>
      </c>
      <c r="AC295" s="2">
        <v>153.80000000000001</v>
      </c>
      <c r="AD295" s="2">
        <v>156.80000000000001</v>
      </c>
    </row>
    <row r="296" spans="1:30" x14ac:dyDescent="0.35">
      <c r="A296" s="2" t="s">
        <v>30</v>
      </c>
      <c r="B296" s="2">
        <v>2021</v>
      </c>
      <c r="C296" s="2" t="s">
        <v>39</v>
      </c>
      <c r="D296" s="2">
        <v>142.69999999999999</v>
      </c>
      <c r="E296" s="2">
        <v>195.5</v>
      </c>
      <c r="F296" s="2">
        <v>163.4</v>
      </c>
      <c r="G296" s="2">
        <v>155</v>
      </c>
      <c r="H296" s="2">
        <v>175.2</v>
      </c>
      <c r="I296" s="2">
        <v>160.6</v>
      </c>
      <c r="J296" s="2">
        <v>135.1</v>
      </c>
      <c r="K296" s="2">
        <v>161.1</v>
      </c>
      <c r="L296" s="2">
        <v>112.2</v>
      </c>
      <c r="M296" s="2">
        <v>164.4</v>
      </c>
      <c r="N296" s="2">
        <v>161.9</v>
      </c>
      <c r="O296" s="2">
        <v>166.8</v>
      </c>
      <c r="P296" s="2">
        <v>155.6</v>
      </c>
      <c r="Q296" s="2">
        <v>186.8</v>
      </c>
      <c r="R296" s="2">
        <v>160.69999999999999</v>
      </c>
      <c r="S296" s="2">
        <v>155.1</v>
      </c>
      <c r="T296" s="2">
        <v>159.9</v>
      </c>
      <c r="U296" s="2" t="s">
        <v>139</v>
      </c>
      <c r="V296" s="2">
        <v>156</v>
      </c>
      <c r="W296" s="2">
        <v>155.5</v>
      </c>
      <c r="X296" s="2">
        <v>165.3</v>
      </c>
      <c r="Y296" s="2">
        <v>151.69999999999999</v>
      </c>
      <c r="Z296" s="2">
        <v>158.6</v>
      </c>
      <c r="AA296" s="2">
        <v>164.1</v>
      </c>
      <c r="AB296" s="2">
        <v>154.6</v>
      </c>
      <c r="AC296" s="2">
        <v>158</v>
      </c>
      <c r="AD296" s="2">
        <v>157.6</v>
      </c>
    </row>
    <row r="297" spans="1:30" x14ac:dyDescent="0.35">
      <c r="A297" s="2" t="s">
        <v>33</v>
      </c>
      <c r="B297" s="2">
        <v>2021</v>
      </c>
      <c r="C297" s="2" t="s">
        <v>39</v>
      </c>
      <c r="D297" s="2">
        <v>147.6</v>
      </c>
      <c r="E297" s="2">
        <v>202.5</v>
      </c>
      <c r="F297" s="2">
        <v>166.4</v>
      </c>
      <c r="G297" s="2">
        <v>156</v>
      </c>
      <c r="H297" s="2">
        <v>161.4</v>
      </c>
      <c r="I297" s="2">
        <v>168.8</v>
      </c>
      <c r="J297" s="2">
        <v>161.6</v>
      </c>
      <c r="K297" s="2">
        <v>162.80000000000001</v>
      </c>
      <c r="L297" s="2">
        <v>114.8</v>
      </c>
      <c r="M297" s="2">
        <v>162.80000000000001</v>
      </c>
      <c r="N297" s="2">
        <v>151.5</v>
      </c>
      <c r="O297" s="2">
        <v>171.4</v>
      </c>
      <c r="P297" s="2">
        <v>162</v>
      </c>
      <c r="Q297" s="2">
        <v>194.4</v>
      </c>
      <c r="R297" s="2">
        <v>155.9</v>
      </c>
      <c r="S297" s="2">
        <v>139.30000000000001</v>
      </c>
      <c r="T297" s="2">
        <v>153.4</v>
      </c>
      <c r="U297" s="2" t="s">
        <v>141</v>
      </c>
      <c r="V297" s="2">
        <v>154.9</v>
      </c>
      <c r="W297" s="2">
        <v>147.6</v>
      </c>
      <c r="X297" s="2">
        <v>157.5</v>
      </c>
      <c r="Y297" s="2">
        <v>142.1</v>
      </c>
      <c r="Z297" s="2">
        <v>149.1</v>
      </c>
      <c r="AA297" s="2">
        <v>157.6</v>
      </c>
      <c r="AB297" s="2">
        <v>156.6</v>
      </c>
      <c r="AC297" s="2">
        <v>150.5</v>
      </c>
      <c r="AD297" s="2">
        <v>158</v>
      </c>
    </row>
    <row r="298" spans="1:30" x14ac:dyDescent="0.35">
      <c r="A298" s="2" t="s">
        <v>35</v>
      </c>
      <c r="B298" s="2">
        <v>2021</v>
      </c>
      <c r="C298" s="2" t="s">
        <v>39</v>
      </c>
      <c r="D298" s="2">
        <v>144.30000000000001</v>
      </c>
      <c r="E298" s="2">
        <v>198</v>
      </c>
      <c r="F298" s="2">
        <v>164.6</v>
      </c>
      <c r="G298" s="2">
        <v>155.4</v>
      </c>
      <c r="H298" s="2">
        <v>170.1</v>
      </c>
      <c r="I298" s="2">
        <v>164.4</v>
      </c>
      <c r="J298" s="2">
        <v>144.1</v>
      </c>
      <c r="K298" s="2">
        <v>161.69999999999999</v>
      </c>
      <c r="L298" s="2">
        <v>113.1</v>
      </c>
      <c r="M298" s="2">
        <v>163.9</v>
      </c>
      <c r="N298" s="2">
        <v>157.6</v>
      </c>
      <c r="O298" s="2">
        <v>168.9</v>
      </c>
      <c r="P298" s="2">
        <v>158</v>
      </c>
      <c r="Q298" s="2">
        <v>188.8</v>
      </c>
      <c r="R298" s="2">
        <v>158.80000000000001</v>
      </c>
      <c r="S298" s="2">
        <v>148.5</v>
      </c>
      <c r="T298" s="2">
        <v>157.30000000000001</v>
      </c>
      <c r="U298" s="2" t="s">
        <v>141</v>
      </c>
      <c r="V298" s="2">
        <v>155.6</v>
      </c>
      <c r="W298" s="2">
        <v>151.80000000000001</v>
      </c>
      <c r="X298" s="2">
        <v>162.30000000000001</v>
      </c>
      <c r="Y298" s="2">
        <v>146.6</v>
      </c>
      <c r="Z298" s="2">
        <v>153.19999999999999</v>
      </c>
      <c r="AA298" s="2">
        <v>160.30000000000001</v>
      </c>
      <c r="AB298" s="2">
        <v>155.4</v>
      </c>
      <c r="AC298" s="2">
        <v>154.4</v>
      </c>
      <c r="AD298" s="2">
        <v>157.80000000000001</v>
      </c>
    </row>
    <row r="299" spans="1:30" x14ac:dyDescent="0.35">
      <c r="A299" s="2" t="s">
        <v>30</v>
      </c>
      <c r="B299" s="2">
        <v>2021</v>
      </c>
      <c r="C299" s="2" t="s">
        <v>41</v>
      </c>
      <c r="D299" s="2">
        <v>145.1</v>
      </c>
      <c r="E299" s="2">
        <v>198.5</v>
      </c>
      <c r="F299" s="2">
        <v>168.6</v>
      </c>
      <c r="G299" s="2">
        <v>155.80000000000001</v>
      </c>
      <c r="H299" s="2">
        <v>184.4</v>
      </c>
      <c r="I299" s="2">
        <v>162.30000000000001</v>
      </c>
      <c r="J299" s="2">
        <v>138.4</v>
      </c>
      <c r="K299" s="2">
        <v>165.1</v>
      </c>
      <c r="L299" s="2">
        <v>114.3</v>
      </c>
      <c r="M299" s="2">
        <v>169.7</v>
      </c>
      <c r="N299" s="2">
        <v>164.6</v>
      </c>
      <c r="O299" s="2">
        <v>169.8</v>
      </c>
      <c r="P299" s="2">
        <v>158.69999999999999</v>
      </c>
      <c r="Q299" s="2">
        <v>189.6</v>
      </c>
      <c r="R299" s="2">
        <v>165.3</v>
      </c>
      <c r="S299" s="2">
        <v>160.6</v>
      </c>
      <c r="T299" s="2">
        <v>164.5</v>
      </c>
      <c r="U299" s="2" t="s">
        <v>32</v>
      </c>
      <c r="V299" s="2">
        <v>161.69999999999999</v>
      </c>
      <c r="W299" s="2">
        <v>158.80000000000001</v>
      </c>
      <c r="X299" s="2">
        <v>169.1</v>
      </c>
      <c r="Y299" s="2">
        <v>153.19999999999999</v>
      </c>
      <c r="Z299" s="2">
        <v>160</v>
      </c>
      <c r="AA299" s="2">
        <v>167.6</v>
      </c>
      <c r="AB299" s="2">
        <v>159.30000000000001</v>
      </c>
      <c r="AC299" s="2">
        <v>161.1</v>
      </c>
      <c r="AD299" s="2">
        <v>161.1</v>
      </c>
    </row>
    <row r="300" spans="1:30" x14ac:dyDescent="0.35">
      <c r="A300" s="2" t="s">
        <v>33</v>
      </c>
      <c r="B300" s="2">
        <v>2021</v>
      </c>
      <c r="C300" s="2" t="s">
        <v>41</v>
      </c>
      <c r="D300" s="2">
        <v>148.80000000000001</v>
      </c>
      <c r="E300" s="2">
        <v>204.3</v>
      </c>
      <c r="F300" s="2">
        <v>173</v>
      </c>
      <c r="G300" s="2">
        <v>156.5</v>
      </c>
      <c r="H300" s="2">
        <v>168.8</v>
      </c>
      <c r="I300" s="2">
        <v>172.5</v>
      </c>
      <c r="J300" s="2">
        <v>166.5</v>
      </c>
      <c r="K300" s="2">
        <v>165.9</v>
      </c>
      <c r="L300" s="2">
        <v>115.9</v>
      </c>
      <c r="M300" s="2">
        <v>165.2</v>
      </c>
      <c r="N300" s="2">
        <v>152</v>
      </c>
      <c r="O300" s="2">
        <v>171.1</v>
      </c>
      <c r="P300" s="2">
        <v>164.2</v>
      </c>
      <c r="Q300" s="2">
        <v>198.2</v>
      </c>
      <c r="R300" s="2">
        <v>156.5</v>
      </c>
      <c r="S300" s="2">
        <v>140.19999999999999</v>
      </c>
      <c r="T300" s="2">
        <v>154.1</v>
      </c>
      <c r="U300" s="2" t="s">
        <v>142</v>
      </c>
      <c r="V300" s="2">
        <v>155.5</v>
      </c>
      <c r="W300" s="2">
        <v>150.1</v>
      </c>
      <c r="X300" s="2">
        <v>160.4</v>
      </c>
      <c r="Y300" s="2">
        <v>145</v>
      </c>
      <c r="Z300" s="2">
        <v>152.6</v>
      </c>
      <c r="AA300" s="2">
        <v>156.6</v>
      </c>
      <c r="AB300" s="2">
        <v>157.5</v>
      </c>
      <c r="AC300" s="2">
        <v>152.30000000000001</v>
      </c>
      <c r="AD300" s="2">
        <v>159.5</v>
      </c>
    </row>
    <row r="301" spans="1:30" x14ac:dyDescent="0.35">
      <c r="A301" s="2" t="s">
        <v>35</v>
      </c>
      <c r="B301" s="2">
        <v>2021</v>
      </c>
      <c r="C301" s="2" t="s">
        <v>41</v>
      </c>
      <c r="D301" s="2">
        <v>146.30000000000001</v>
      </c>
      <c r="E301" s="2">
        <v>200.5</v>
      </c>
      <c r="F301" s="2">
        <v>170.3</v>
      </c>
      <c r="G301" s="2">
        <v>156.1</v>
      </c>
      <c r="H301" s="2">
        <v>178.7</v>
      </c>
      <c r="I301" s="2">
        <v>167.1</v>
      </c>
      <c r="J301" s="2">
        <v>147.9</v>
      </c>
      <c r="K301" s="2">
        <v>165.4</v>
      </c>
      <c r="L301" s="2">
        <v>114.8</v>
      </c>
      <c r="M301" s="2">
        <v>168.2</v>
      </c>
      <c r="N301" s="2">
        <v>159.30000000000001</v>
      </c>
      <c r="O301" s="2">
        <v>170.4</v>
      </c>
      <c r="P301" s="2">
        <v>160.69999999999999</v>
      </c>
      <c r="Q301" s="2">
        <v>191.9</v>
      </c>
      <c r="R301" s="2">
        <v>161.80000000000001</v>
      </c>
      <c r="S301" s="2">
        <v>152.1</v>
      </c>
      <c r="T301" s="2">
        <v>160.4</v>
      </c>
      <c r="U301" s="2" t="s">
        <v>142</v>
      </c>
      <c r="V301" s="2">
        <v>159.4</v>
      </c>
      <c r="W301" s="2">
        <v>154.69999999999999</v>
      </c>
      <c r="X301" s="2">
        <v>165.8</v>
      </c>
      <c r="Y301" s="2">
        <v>148.9</v>
      </c>
      <c r="Z301" s="2">
        <v>155.80000000000001</v>
      </c>
      <c r="AA301" s="2">
        <v>161.19999999999999</v>
      </c>
      <c r="AB301" s="2">
        <v>158.6</v>
      </c>
      <c r="AC301" s="2">
        <v>156.80000000000001</v>
      </c>
      <c r="AD301" s="2">
        <v>160.4</v>
      </c>
    </row>
    <row r="302" spans="1:30" x14ac:dyDescent="0.35">
      <c r="A302" s="2" t="s">
        <v>30</v>
      </c>
      <c r="B302" s="2">
        <v>2021</v>
      </c>
      <c r="C302" s="2" t="s">
        <v>42</v>
      </c>
      <c r="D302" s="2">
        <v>145.6</v>
      </c>
      <c r="E302" s="2">
        <v>200.1</v>
      </c>
      <c r="F302" s="2">
        <v>179.3</v>
      </c>
      <c r="G302" s="2">
        <v>156.1</v>
      </c>
      <c r="H302" s="2">
        <v>190.4</v>
      </c>
      <c r="I302" s="2">
        <v>158.6</v>
      </c>
      <c r="J302" s="2">
        <v>144.69999999999999</v>
      </c>
      <c r="K302" s="2">
        <v>165.5</v>
      </c>
      <c r="L302" s="2">
        <v>114.6</v>
      </c>
      <c r="M302" s="2">
        <v>170</v>
      </c>
      <c r="N302" s="2">
        <v>165.5</v>
      </c>
      <c r="O302" s="2">
        <v>171.7</v>
      </c>
      <c r="P302" s="2">
        <v>160.5</v>
      </c>
      <c r="Q302" s="2">
        <v>189.1</v>
      </c>
      <c r="R302" s="2">
        <v>165.3</v>
      </c>
      <c r="S302" s="2">
        <v>159.9</v>
      </c>
      <c r="T302" s="2">
        <v>164.6</v>
      </c>
      <c r="U302" s="2" t="s">
        <v>32</v>
      </c>
      <c r="V302" s="2">
        <v>162.1</v>
      </c>
      <c r="W302" s="2">
        <v>159.19999999999999</v>
      </c>
      <c r="X302" s="2">
        <v>169.7</v>
      </c>
      <c r="Y302" s="2">
        <v>154.19999999999999</v>
      </c>
      <c r="Z302" s="2">
        <v>160.4</v>
      </c>
      <c r="AA302" s="2">
        <v>166.8</v>
      </c>
      <c r="AB302" s="2">
        <v>159.4</v>
      </c>
      <c r="AC302" s="2">
        <v>161.5</v>
      </c>
      <c r="AD302" s="2">
        <v>162.1</v>
      </c>
    </row>
    <row r="303" spans="1:30" x14ac:dyDescent="0.35">
      <c r="A303" s="2" t="s">
        <v>33</v>
      </c>
      <c r="B303" s="2">
        <v>2021</v>
      </c>
      <c r="C303" s="2" t="s">
        <v>42</v>
      </c>
      <c r="D303" s="2">
        <v>149.19999999999999</v>
      </c>
      <c r="E303" s="2">
        <v>205.5</v>
      </c>
      <c r="F303" s="2">
        <v>182.8</v>
      </c>
      <c r="G303" s="2">
        <v>156.5</v>
      </c>
      <c r="H303" s="2">
        <v>172.2</v>
      </c>
      <c r="I303" s="2">
        <v>171.5</v>
      </c>
      <c r="J303" s="2">
        <v>176.2</v>
      </c>
      <c r="K303" s="2">
        <v>166.9</v>
      </c>
      <c r="L303" s="2">
        <v>116.1</v>
      </c>
      <c r="M303" s="2">
        <v>165.5</v>
      </c>
      <c r="N303" s="2">
        <v>152.30000000000001</v>
      </c>
      <c r="O303" s="2">
        <v>173.3</v>
      </c>
      <c r="P303" s="2">
        <v>166.2</v>
      </c>
      <c r="Q303" s="2">
        <v>195.6</v>
      </c>
      <c r="R303" s="2">
        <v>157.30000000000001</v>
      </c>
      <c r="S303" s="2">
        <v>140.5</v>
      </c>
      <c r="T303" s="2">
        <v>154.80000000000001</v>
      </c>
      <c r="U303" s="2" t="s">
        <v>143</v>
      </c>
      <c r="V303" s="2">
        <v>156.1</v>
      </c>
      <c r="W303" s="2">
        <v>149.80000000000001</v>
      </c>
      <c r="X303" s="2">
        <v>160.80000000000001</v>
      </c>
      <c r="Y303" s="2">
        <v>147.5</v>
      </c>
      <c r="Z303" s="2">
        <v>150.69999999999999</v>
      </c>
      <c r="AA303" s="2">
        <v>158.1</v>
      </c>
      <c r="AB303" s="2">
        <v>158</v>
      </c>
      <c r="AC303" s="2">
        <v>153.4</v>
      </c>
      <c r="AD303" s="2">
        <v>160.4</v>
      </c>
    </row>
    <row r="304" spans="1:30" x14ac:dyDescent="0.35">
      <c r="A304" s="2" t="s">
        <v>35</v>
      </c>
      <c r="B304" s="2">
        <v>2021</v>
      </c>
      <c r="C304" s="2" t="s">
        <v>42</v>
      </c>
      <c r="D304" s="2">
        <v>146.69999999999999</v>
      </c>
      <c r="E304" s="2">
        <v>202</v>
      </c>
      <c r="F304" s="2">
        <v>180.7</v>
      </c>
      <c r="G304" s="2">
        <v>156.19999999999999</v>
      </c>
      <c r="H304" s="2">
        <v>183.7</v>
      </c>
      <c r="I304" s="2">
        <v>164.6</v>
      </c>
      <c r="J304" s="2">
        <v>155.4</v>
      </c>
      <c r="K304" s="2">
        <v>166</v>
      </c>
      <c r="L304" s="2">
        <v>115.1</v>
      </c>
      <c r="M304" s="2">
        <v>168.5</v>
      </c>
      <c r="N304" s="2">
        <v>160</v>
      </c>
      <c r="O304" s="2">
        <v>172.4</v>
      </c>
      <c r="P304" s="2">
        <v>162.6</v>
      </c>
      <c r="Q304" s="2">
        <v>190.8</v>
      </c>
      <c r="R304" s="2">
        <v>162.19999999999999</v>
      </c>
      <c r="S304" s="2">
        <v>151.80000000000001</v>
      </c>
      <c r="T304" s="2">
        <v>160.69999999999999</v>
      </c>
      <c r="U304" s="2" t="s">
        <v>143</v>
      </c>
      <c r="V304" s="2">
        <v>159.80000000000001</v>
      </c>
      <c r="W304" s="2">
        <v>154.80000000000001</v>
      </c>
      <c r="X304" s="2">
        <v>166.3</v>
      </c>
      <c r="Y304" s="2">
        <v>150.69999999999999</v>
      </c>
      <c r="Z304" s="2">
        <v>154.9</v>
      </c>
      <c r="AA304" s="2">
        <v>161.69999999999999</v>
      </c>
      <c r="AB304" s="2">
        <v>158.80000000000001</v>
      </c>
      <c r="AC304" s="2">
        <v>157.6</v>
      </c>
      <c r="AD304" s="2">
        <v>161.30000000000001</v>
      </c>
    </row>
    <row r="305" spans="1:30" x14ac:dyDescent="0.35">
      <c r="A305" s="2" t="s">
        <v>30</v>
      </c>
      <c r="B305" s="2">
        <v>2021</v>
      </c>
      <c r="C305" s="2" t="s">
        <v>44</v>
      </c>
      <c r="D305" s="2">
        <v>145.1</v>
      </c>
      <c r="E305" s="2">
        <v>204.5</v>
      </c>
      <c r="F305" s="2">
        <v>180.4</v>
      </c>
      <c r="G305" s="2">
        <v>157.1</v>
      </c>
      <c r="H305" s="2">
        <v>188.7</v>
      </c>
      <c r="I305" s="2">
        <v>157.69999999999999</v>
      </c>
      <c r="J305" s="2">
        <v>152.80000000000001</v>
      </c>
      <c r="K305" s="2">
        <v>163.6</v>
      </c>
      <c r="L305" s="2">
        <v>113.9</v>
      </c>
      <c r="M305" s="2">
        <v>169.7</v>
      </c>
      <c r="N305" s="2">
        <v>166.2</v>
      </c>
      <c r="O305" s="2">
        <v>171</v>
      </c>
      <c r="P305" s="2">
        <v>161.69999999999999</v>
      </c>
      <c r="Q305" s="2">
        <v>189.7</v>
      </c>
      <c r="R305" s="2">
        <v>166</v>
      </c>
      <c r="S305" s="2">
        <v>161.1</v>
      </c>
      <c r="T305" s="2">
        <v>165.3</v>
      </c>
      <c r="U305" s="2" t="s">
        <v>32</v>
      </c>
      <c r="V305" s="2">
        <v>162.5</v>
      </c>
      <c r="W305" s="2">
        <v>160.30000000000001</v>
      </c>
      <c r="X305" s="2">
        <v>170.4</v>
      </c>
      <c r="Y305" s="2">
        <v>157.1</v>
      </c>
      <c r="Z305" s="2">
        <v>160.69999999999999</v>
      </c>
      <c r="AA305" s="2">
        <v>167.2</v>
      </c>
      <c r="AB305" s="2">
        <v>160.4</v>
      </c>
      <c r="AC305" s="2">
        <v>162.80000000000001</v>
      </c>
      <c r="AD305" s="2">
        <v>163.19999999999999</v>
      </c>
    </row>
    <row r="306" spans="1:30" x14ac:dyDescent="0.35">
      <c r="A306" s="2" t="s">
        <v>33</v>
      </c>
      <c r="B306" s="2">
        <v>2021</v>
      </c>
      <c r="C306" s="2" t="s">
        <v>44</v>
      </c>
      <c r="D306" s="2">
        <v>149.1</v>
      </c>
      <c r="E306" s="2">
        <v>210.9</v>
      </c>
      <c r="F306" s="2">
        <v>185</v>
      </c>
      <c r="G306" s="2">
        <v>158.19999999999999</v>
      </c>
      <c r="H306" s="2">
        <v>170.6</v>
      </c>
      <c r="I306" s="2">
        <v>170.9</v>
      </c>
      <c r="J306" s="2">
        <v>186.4</v>
      </c>
      <c r="K306" s="2">
        <v>164.7</v>
      </c>
      <c r="L306" s="2">
        <v>115.7</v>
      </c>
      <c r="M306" s="2">
        <v>165.5</v>
      </c>
      <c r="N306" s="2">
        <v>153.4</v>
      </c>
      <c r="O306" s="2">
        <v>173.5</v>
      </c>
      <c r="P306" s="2">
        <v>167.9</v>
      </c>
      <c r="Q306" s="2">
        <v>195.5</v>
      </c>
      <c r="R306" s="2">
        <v>157.9</v>
      </c>
      <c r="S306" s="2">
        <v>141.9</v>
      </c>
      <c r="T306" s="2">
        <v>155.5</v>
      </c>
      <c r="U306" s="2" t="s">
        <v>144</v>
      </c>
      <c r="V306" s="2">
        <v>157.69999999999999</v>
      </c>
      <c r="W306" s="2">
        <v>150.69999999999999</v>
      </c>
      <c r="X306" s="2">
        <v>161.5</v>
      </c>
      <c r="Y306" s="2">
        <v>149.5</v>
      </c>
      <c r="Z306" s="2">
        <v>151.19999999999999</v>
      </c>
      <c r="AA306" s="2">
        <v>160.30000000000001</v>
      </c>
      <c r="AB306" s="2">
        <v>159.6</v>
      </c>
      <c r="AC306" s="2">
        <v>155</v>
      </c>
      <c r="AD306" s="2">
        <v>161.80000000000001</v>
      </c>
    </row>
    <row r="307" spans="1:30" x14ac:dyDescent="0.35">
      <c r="A307" s="2" t="s">
        <v>35</v>
      </c>
      <c r="B307" s="2">
        <v>2021</v>
      </c>
      <c r="C307" s="2" t="s">
        <v>44</v>
      </c>
      <c r="D307" s="2">
        <v>146.4</v>
      </c>
      <c r="E307" s="2">
        <v>206.8</v>
      </c>
      <c r="F307" s="2">
        <v>182.2</v>
      </c>
      <c r="G307" s="2">
        <v>157.5</v>
      </c>
      <c r="H307" s="2">
        <v>182.1</v>
      </c>
      <c r="I307" s="2">
        <v>163.9</v>
      </c>
      <c r="J307" s="2">
        <v>164.2</v>
      </c>
      <c r="K307" s="2">
        <v>164</v>
      </c>
      <c r="L307" s="2">
        <v>114.5</v>
      </c>
      <c r="M307" s="2">
        <v>168.3</v>
      </c>
      <c r="N307" s="2">
        <v>160.9</v>
      </c>
      <c r="O307" s="2">
        <v>172.2</v>
      </c>
      <c r="P307" s="2">
        <v>164</v>
      </c>
      <c r="Q307" s="2">
        <v>191.2</v>
      </c>
      <c r="R307" s="2">
        <v>162.80000000000001</v>
      </c>
      <c r="S307" s="2">
        <v>153.1</v>
      </c>
      <c r="T307" s="2">
        <v>161.4</v>
      </c>
      <c r="U307" s="2" t="s">
        <v>144</v>
      </c>
      <c r="V307" s="2">
        <v>160.69999999999999</v>
      </c>
      <c r="W307" s="2">
        <v>155.80000000000001</v>
      </c>
      <c r="X307" s="2">
        <v>167</v>
      </c>
      <c r="Y307" s="2">
        <v>153.1</v>
      </c>
      <c r="Z307" s="2">
        <v>155.30000000000001</v>
      </c>
      <c r="AA307" s="2">
        <v>163.19999999999999</v>
      </c>
      <c r="AB307" s="2">
        <v>160.1</v>
      </c>
      <c r="AC307" s="2">
        <v>159</v>
      </c>
      <c r="AD307" s="2">
        <v>162.5</v>
      </c>
    </row>
    <row r="308" spans="1:30" x14ac:dyDescent="0.35">
      <c r="A308" s="2" t="s">
        <v>30</v>
      </c>
      <c r="B308" s="2">
        <v>2021</v>
      </c>
      <c r="C308" s="2" t="s">
        <v>46</v>
      </c>
      <c r="D308" s="2">
        <v>144.9</v>
      </c>
      <c r="E308" s="2">
        <v>202.3</v>
      </c>
      <c r="F308" s="2">
        <v>176.5</v>
      </c>
      <c r="G308" s="2">
        <v>157.5</v>
      </c>
      <c r="H308" s="2">
        <v>190.9</v>
      </c>
      <c r="I308" s="2">
        <v>155.69999999999999</v>
      </c>
      <c r="J308" s="2">
        <v>153.9</v>
      </c>
      <c r="K308" s="2">
        <v>162.80000000000001</v>
      </c>
      <c r="L308" s="2">
        <v>115.2</v>
      </c>
      <c r="M308" s="2">
        <v>169.8</v>
      </c>
      <c r="N308" s="2">
        <v>167.6</v>
      </c>
      <c r="O308" s="2">
        <v>171.9</v>
      </c>
      <c r="P308" s="2">
        <v>161.80000000000001</v>
      </c>
      <c r="Q308" s="2">
        <v>190.2</v>
      </c>
      <c r="R308" s="2">
        <v>167</v>
      </c>
      <c r="S308" s="2">
        <v>162.6</v>
      </c>
      <c r="T308" s="2">
        <v>166.3</v>
      </c>
      <c r="U308" s="2" t="s">
        <v>32</v>
      </c>
      <c r="V308" s="2">
        <v>163.1</v>
      </c>
      <c r="W308" s="2">
        <v>160.9</v>
      </c>
      <c r="X308" s="2">
        <v>171.1</v>
      </c>
      <c r="Y308" s="2">
        <v>157.69999999999999</v>
      </c>
      <c r="Z308" s="2">
        <v>161.1</v>
      </c>
      <c r="AA308" s="2">
        <v>167.5</v>
      </c>
      <c r="AB308" s="2">
        <v>160.30000000000001</v>
      </c>
      <c r="AC308" s="2">
        <v>163.30000000000001</v>
      </c>
      <c r="AD308" s="2">
        <v>163.6</v>
      </c>
    </row>
    <row r="309" spans="1:30" x14ac:dyDescent="0.35">
      <c r="A309" s="2" t="s">
        <v>33</v>
      </c>
      <c r="B309" s="2">
        <v>2021</v>
      </c>
      <c r="C309" s="2" t="s">
        <v>46</v>
      </c>
      <c r="D309" s="2">
        <v>149.30000000000001</v>
      </c>
      <c r="E309" s="2">
        <v>207.4</v>
      </c>
      <c r="F309" s="2">
        <v>174.1</v>
      </c>
      <c r="G309" s="2">
        <v>159.19999999999999</v>
      </c>
      <c r="H309" s="2">
        <v>175</v>
      </c>
      <c r="I309" s="2">
        <v>161.30000000000001</v>
      </c>
      <c r="J309" s="2">
        <v>183.3</v>
      </c>
      <c r="K309" s="2">
        <v>164.5</v>
      </c>
      <c r="L309" s="2">
        <v>120.4</v>
      </c>
      <c r="M309" s="2">
        <v>166.2</v>
      </c>
      <c r="N309" s="2">
        <v>154.80000000000001</v>
      </c>
      <c r="O309" s="2">
        <v>175.1</v>
      </c>
      <c r="P309" s="2">
        <v>167.3</v>
      </c>
      <c r="Q309" s="2">
        <v>196.5</v>
      </c>
      <c r="R309" s="2">
        <v>159.80000000000001</v>
      </c>
      <c r="S309" s="2">
        <v>143.6</v>
      </c>
      <c r="T309" s="2">
        <v>157.30000000000001</v>
      </c>
      <c r="U309" s="2" t="s">
        <v>145</v>
      </c>
      <c r="V309" s="2">
        <v>160.69999999999999</v>
      </c>
      <c r="W309" s="2">
        <v>153.19999999999999</v>
      </c>
      <c r="X309" s="2">
        <v>162.80000000000001</v>
      </c>
      <c r="Y309" s="2">
        <v>150.4</v>
      </c>
      <c r="Z309" s="2">
        <v>153.69999999999999</v>
      </c>
      <c r="AA309" s="2">
        <v>160.4</v>
      </c>
      <c r="AB309" s="2">
        <v>159.6</v>
      </c>
      <c r="AC309" s="2">
        <v>156</v>
      </c>
      <c r="AD309" s="2">
        <v>162.30000000000001</v>
      </c>
    </row>
    <row r="310" spans="1:30" x14ac:dyDescent="0.35">
      <c r="A310" s="2" t="s">
        <v>35</v>
      </c>
      <c r="B310" s="2">
        <v>2021</v>
      </c>
      <c r="C310" s="2" t="s">
        <v>46</v>
      </c>
      <c r="D310" s="2">
        <v>146.6</v>
      </c>
      <c r="E310" s="2">
        <v>204</v>
      </c>
      <c r="F310" s="2">
        <v>172.8</v>
      </c>
      <c r="G310" s="2">
        <v>158.4</v>
      </c>
      <c r="H310" s="2">
        <v>188</v>
      </c>
      <c r="I310" s="2">
        <v>156.80000000000001</v>
      </c>
      <c r="J310" s="2">
        <v>162.19999999999999</v>
      </c>
      <c r="K310" s="2">
        <v>164.1</v>
      </c>
      <c r="L310" s="2">
        <v>119.7</v>
      </c>
      <c r="M310" s="2">
        <v>168.8</v>
      </c>
      <c r="N310" s="2">
        <v>162.69999999999999</v>
      </c>
      <c r="O310" s="2">
        <v>173.9</v>
      </c>
      <c r="P310" s="2">
        <v>164</v>
      </c>
      <c r="Q310" s="2">
        <v>192.1</v>
      </c>
      <c r="R310" s="2">
        <v>164.5</v>
      </c>
      <c r="S310" s="2">
        <v>155.30000000000001</v>
      </c>
      <c r="T310" s="2">
        <v>163.19999999999999</v>
      </c>
      <c r="U310" s="2" t="s">
        <v>145</v>
      </c>
      <c r="V310" s="2">
        <v>162.6</v>
      </c>
      <c r="W310" s="2">
        <v>157.5</v>
      </c>
      <c r="X310" s="2">
        <v>168.4</v>
      </c>
      <c r="Y310" s="2">
        <v>154</v>
      </c>
      <c r="Z310" s="2">
        <v>157.6</v>
      </c>
      <c r="AA310" s="2">
        <v>163.80000000000001</v>
      </c>
      <c r="AB310" s="2">
        <v>160</v>
      </c>
      <c r="AC310" s="2">
        <v>160</v>
      </c>
      <c r="AD310" s="2">
        <v>163.19999999999999</v>
      </c>
    </row>
    <row r="311" spans="1:30" x14ac:dyDescent="0.35">
      <c r="A311" s="2" t="s">
        <v>30</v>
      </c>
      <c r="B311" s="2">
        <v>2021</v>
      </c>
      <c r="C311" s="2" t="s">
        <v>48</v>
      </c>
      <c r="D311" s="2">
        <v>145.4</v>
      </c>
      <c r="E311" s="2">
        <v>202.1</v>
      </c>
      <c r="F311" s="2">
        <v>172</v>
      </c>
      <c r="G311" s="2">
        <v>158</v>
      </c>
      <c r="H311" s="2">
        <v>195.5</v>
      </c>
      <c r="I311" s="2">
        <v>152.69999999999999</v>
      </c>
      <c r="J311" s="2">
        <v>151.4</v>
      </c>
      <c r="K311" s="2">
        <v>163.9</v>
      </c>
      <c r="L311" s="2">
        <v>119.3</v>
      </c>
      <c r="M311" s="2">
        <v>170.1</v>
      </c>
      <c r="N311" s="2">
        <v>168.3</v>
      </c>
      <c r="O311" s="2">
        <v>172.8</v>
      </c>
      <c r="P311" s="2">
        <v>162.1</v>
      </c>
      <c r="Q311" s="2">
        <v>190.5</v>
      </c>
      <c r="R311" s="2">
        <v>167.7</v>
      </c>
      <c r="S311" s="2">
        <v>163.6</v>
      </c>
      <c r="T311" s="2">
        <v>167.1</v>
      </c>
      <c r="U311" s="2" t="s">
        <v>32</v>
      </c>
      <c r="V311" s="2">
        <v>163.69999999999999</v>
      </c>
      <c r="W311" s="2">
        <v>161.30000000000001</v>
      </c>
      <c r="X311" s="2">
        <v>171.9</v>
      </c>
      <c r="Y311" s="2">
        <v>157.80000000000001</v>
      </c>
      <c r="Z311" s="2">
        <v>162.69999999999999</v>
      </c>
      <c r="AA311" s="2">
        <v>168.5</v>
      </c>
      <c r="AB311" s="2">
        <v>160.19999999999999</v>
      </c>
      <c r="AC311" s="2">
        <v>163.80000000000001</v>
      </c>
      <c r="AD311" s="2">
        <v>164</v>
      </c>
    </row>
    <row r="312" spans="1:30" x14ac:dyDescent="0.35">
      <c r="A312" s="2" t="s">
        <v>33</v>
      </c>
      <c r="B312" s="2">
        <v>2021</v>
      </c>
      <c r="C312" s="2" t="s">
        <v>48</v>
      </c>
      <c r="D312" s="2">
        <v>149.30000000000001</v>
      </c>
      <c r="E312" s="2">
        <v>207.4</v>
      </c>
      <c r="F312" s="2">
        <v>174.1</v>
      </c>
      <c r="G312" s="2">
        <v>159.1</v>
      </c>
      <c r="H312" s="2">
        <v>175</v>
      </c>
      <c r="I312" s="2">
        <v>161.19999999999999</v>
      </c>
      <c r="J312" s="2">
        <v>183.5</v>
      </c>
      <c r="K312" s="2">
        <v>164.5</v>
      </c>
      <c r="L312" s="2">
        <v>120.4</v>
      </c>
      <c r="M312" s="2">
        <v>166.2</v>
      </c>
      <c r="N312" s="2">
        <v>154.80000000000001</v>
      </c>
      <c r="O312" s="2">
        <v>175.1</v>
      </c>
      <c r="P312" s="2">
        <v>167.3</v>
      </c>
      <c r="Q312" s="2">
        <v>196.5</v>
      </c>
      <c r="R312" s="2">
        <v>159.80000000000001</v>
      </c>
      <c r="S312" s="2">
        <v>143.6</v>
      </c>
      <c r="T312" s="2">
        <v>157.4</v>
      </c>
      <c r="U312" s="2" t="s">
        <v>145</v>
      </c>
      <c r="V312" s="2">
        <v>160.80000000000001</v>
      </c>
      <c r="W312" s="2">
        <v>153.30000000000001</v>
      </c>
      <c r="X312" s="2">
        <v>162.80000000000001</v>
      </c>
      <c r="Y312" s="2">
        <v>150.5</v>
      </c>
      <c r="Z312" s="2">
        <v>153.9</v>
      </c>
      <c r="AA312" s="2">
        <v>160.30000000000001</v>
      </c>
      <c r="AB312" s="2">
        <v>159.6</v>
      </c>
      <c r="AC312" s="2">
        <v>156</v>
      </c>
      <c r="AD312" s="2">
        <v>162.30000000000001</v>
      </c>
    </row>
    <row r="313" spans="1:30" x14ac:dyDescent="0.35">
      <c r="A313" s="2" t="s">
        <v>35</v>
      </c>
      <c r="B313" s="2">
        <v>2021</v>
      </c>
      <c r="C313" s="2" t="s">
        <v>48</v>
      </c>
      <c r="D313" s="2">
        <v>146.6</v>
      </c>
      <c r="E313" s="2">
        <v>204</v>
      </c>
      <c r="F313" s="2">
        <v>172.8</v>
      </c>
      <c r="G313" s="2">
        <v>158.4</v>
      </c>
      <c r="H313" s="2">
        <v>188</v>
      </c>
      <c r="I313" s="2">
        <v>156.69999999999999</v>
      </c>
      <c r="J313" s="2">
        <v>162.30000000000001</v>
      </c>
      <c r="K313" s="2">
        <v>164.1</v>
      </c>
      <c r="L313" s="2">
        <v>119.7</v>
      </c>
      <c r="M313" s="2">
        <v>168.8</v>
      </c>
      <c r="N313" s="2">
        <v>162.69999999999999</v>
      </c>
      <c r="O313" s="2">
        <v>173.9</v>
      </c>
      <c r="P313" s="2">
        <v>164</v>
      </c>
      <c r="Q313" s="2">
        <v>192.1</v>
      </c>
      <c r="R313" s="2">
        <v>164.6</v>
      </c>
      <c r="S313" s="2">
        <v>155.30000000000001</v>
      </c>
      <c r="T313" s="2">
        <v>163.30000000000001</v>
      </c>
      <c r="U313" s="2" t="s">
        <v>145</v>
      </c>
      <c r="V313" s="2">
        <v>162.6</v>
      </c>
      <c r="W313" s="2">
        <v>157.5</v>
      </c>
      <c r="X313" s="2">
        <v>168.4</v>
      </c>
      <c r="Y313" s="2">
        <v>154</v>
      </c>
      <c r="Z313" s="2">
        <v>157.69999999999999</v>
      </c>
      <c r="AA313" s="2">
        <v>163.69999999999999</v>
      </c>
      <c r="AB313" s="2">
        <v>160</v>
      </c>
      <c r="AC313" s="2">
        <v>160</v>
      </c>
      <c r="AD313" s="2">
        <v>163.19999999999999</v>
      </c>
    </row>
    <row r="314" spans="1:30" x14ac:dyDescent="0.35">
      <c r="A314" s="2" t="s">
        <v>30</v>
      </c>
      <c r="B314" s="2">
        <v>2021</v>
      </c>
      <c r="C314" s="2" t="s">
        <v>50</v>
      </c>
      <c r="D314" s="2">
        <v>146.1</v>
      </c>
      <c r="E314" s="2">
        <v>202.5</v>
      </c>
      <c r="F314" s="2">
        <v>170.1</v>
      </c>
      <c r="G314" s="2">
        <v>158.4</v>
      </c>
      <c r="H314" s="2">
        <v>198.8</v>
      </c>
      <c r="I314" s="2">
        <v>152.6</v>
      </c>
      <c r="J314" s="2">
        <v>170.4</v>
      </c>
      <c r="K314" s="2">
        <v>165.2</v>
      </c>
      <c r="L314" s="2">
        <v>121.6</v>
      </c>
      <c r="M314" s="2">
        <v>170.6</v>
      </c>
      <c r="N314" s="2">
        <v>168.8</v>
      </c>
      <c r="O314" s="2">
        <v>173.6</v>
      </c>
      <c r="P314" s="2">
        <v>165.5</v>
      </c>
      <c r="Q314" s="2">
        <v>191.2</v>
      </c>
      <c r="R314" s="2">
        <v>168.9</v>
      </c>
      <c r="S314" s="2">
        <v>164.8</v>
      </c>
      <c r="T314" s="2">
        <v>168.3</v>
      </c>
      <c r="U314" s="2" t="s">
        <v>32</v>
      </c>
      <c r="V314" s="2">
        <v>165.5</v>
      </c>
      <c r="W314" s="2">
        <v>162</v>
      </c>
      <c r="X314" s="2">
        <v>172.5</v>
      </c>
      <c r="Y314" s="2">
        <v>159.5</v>
      </c>
      <c r="Z314" s="2">
        <v>163.19999999999999</v>
      </c>
      <c r="AA314" s="2">
        <v>169</v>
      </c>
      <c r="AB314" s="2">
        <v>161.1</v>
      </c>
      <c r="AC314" s="2">
        <v>164.7</v>
      </c>
      <c r="AD314" s="2">
        <v>166.3</v>
      </c>
    </row>
    <row r="315" spans="1:30" x14ac:dyDescent="0.35">
      <c r="A315" s="2" t="s">
        <v>33</v>
      </c>
      <c r="B315" s="2">
        <v>2021</v>
      </c>
      <c r="C315" s="2" t="s">
        <v>50</v>
      </c>
      <c r="D315" s="2">
        <v>150.1</v>
      </c>
      <c r="E315" s="2">
        <v>208.4</v>
      </c>
      <c r="F315" s="2">
        <v>173</v>
      </c>
      <c r="G315" s="2">
        <v>159.19999999999999</v>
      </c>
      <c r="H315" s="2">
        <v>176.6</v>
      </c>
      <c r="I315" s="2">
        <v>159.30000000000001</v>
      </c>
      <c r="J315" s="2">
        <v>214.4</v>
      </c>
      <c r="K315" s="2">
        <v>165.3</v>
      </c>
      <c r="L315" s="2">
        <v>122.5</v>
      </c>
      <c r="M315" s="2">
        <v>166.8</v>
      </c>
      <c r="N315" s="2">
        <v>155.4</v>
      </c>
      <c r="O315" s="2">
        <v>175.9</v>
      </c>
      <c r="P315" s="2">
        <v>171.5</v>
      </c>
      <c r="Q315" s="2">
        <v>197</v>
      </c>
      <c r="R315" s="2">
        <v>160.80000000000001</v>
      </c>
      <c r="S315" s="2">
        <v>144.4</v>
      </c>
      <c r="T315" s="2">
        <v>158.30000000000001</v>
      </c>
      <c r="U315" s="2" t="s">
        <v>146</v>
      </c>
      <c r="V315" s="2">
        <v>162.19999999999999</v>
      </c>
      <c r="W315" s="2">
        <v>154.30000000000001</v>
      </c>
      <c r="X315" s="2">
        <v>163.5</v>
      </c>
      <c r="Y315" s="2">
        <v>152.19999999999999</v>
      </c>
      <c r="Z315" s="2">
        <v>155.1</v>
      </c>
      <c r="AA315" s="2">
        <v>160.30000000000001</v>
      </c>
      <c r="AB315" s="2">
        <v>160.30000000000001</v>
      </c>
      <c r="AC315" s="2">
        <v>157</v>
      </c>
      <c r="AD315" s="2">
        <v>164.6</v>
      </c>
    </row>
    <row r="316" spans="1:30" x14ac:dyDescent="0.35">
      <c r="A316" s="2" t="s">
        <v>35</v>
      </c>
      <c r="B316" s="2">
        <v>2021</v>
      </c>
      <c r="C316" s="2" t="s">
        <v>50</v>
      </c>
      <c r="D316" s="2">
        <v>147.4</v>
      </c>
      <c r="E316" s="2">
        <v>204.6</v>
      </c>
      <c r="F316" s="2">
        <v>171.2</v>
      </c>
      <c r="G316" s="2">
        <v>158.69999999999999</v>
      </c>
      <c r="H316" s="2">
        <v>190.6</v>
      </c>
      <c r="I316" s="2">
        <v>155.69999999999999</v>
      </c>
      <c r="J316" s="2">
        <v>185.3</v>
      </c>
      <c r="K316" s="2">
        <v>165.2</v>
      </c>
      <c r="L316" s="2">
        <v>121.9</v>
      </c>
      <c r="M316" s="2">
        <v>169.3</v>
      </c>
      <c r="N316" s="2">
        <v>163.19999999999999</v>
      </c>
      <c r="O316" s="2">
        <v>174.7</v>
      </c>
      <c r="P316" s="2">
        <v>167.7</v>
      </c>
      <c r="Q316" s="2">
        <v>192.7</v>
      </c>
      <c r="R316" s="2">
        <v>165.7</v>
      </c>
      <c r="S316" s="2">
        <v>156.30000000000001</v>
      </c>
      <c r="T316" s="2">
        <v>164.3</v>
      </c>
      <c r="U316" s="2" t="s">
        <v>146</v>
      </c>
      <c r="V316" s="2">
        <v>164.2</v>
      </c>
      <c r="W316" s="2">
        <v>158.4</v>
      </c>
      <c r="X316" s="2">
        <v>169.1</v>
      </c>
      <c r="Y316" s="2">
        <v>155.69999999999999</v>
      </c>
      <c r="Z316" s="2">
        <v>158.6</v>
      </c>
      <c r="AA316" s="2">
        <v>163.9</v>
      </c>
      <c r="AB316" s="2">
        <v>160.80000000000001</v>
      </c>
      <c r="AC316" s="2">
        <v>161</v>
      </c>
      <c r="AD316" s="2">
        <v>165.5</v>
      </c>
    </row>
    <row r="317" spans="1:30" x14ac:dyDescent="0.35">
      <c r="A317" s="2" t="s">
        <v>30</v>
      </c>
      <c r="B317" s="2">
        <v>2021</v>
      </c>
      <c r="C317" s="2" t="s">
        <v>53</v>
      </c>
      <c r="D317" s="2">
        <v>146.9</v>
      </c>
      <c r="E317" s="2">
        <v>199.8</v>
      </c>
      <c r="F317" s="2">
        <v>171.5</v>
      </c>
      <c r="G317" s="2">
        <v>159.1</v>
      </c>
      <c r="H317" s="2">
        <v>198.4</v>
      </c>
      <c r="I317" s="2">
        <v>153.19999999999999</v>
      </c>
      <c r="J317" s="2">
        <v>183.9</v>
      </c>
      <c r="K317" s="2">
        <v>165.4</v>
      </c>
      <c r="L317" s="2">
        <v>122.1</v>
      </c>
      <c r="M317" s="2">
        <v>170.8</v>
      </c>
      <c r="N317" s="2">
        <v>169.1</v>
      </c>
      <c r="O317" s="2">
        <v>174.3</v>
      </c>
      <c r="P317" s="2">
        <v>167.5</v>
      </c>
      <c r="Q317" s="2">
        <v>191.4</v>
      </c>
      <c r="R317" s="2">
        <v>170.4</v>
      </c>
      <c r="S317" s="2">
        <v>166</v>
      </c>
      <c r="T317" s="2">
        <v>169.8</v>
      </c>
      <c r="U317" s="2" t="s">
        <v>32</v>
      </c>
      <c r="V317" s="2">
        <v>165.3</v>
      </c>
      <c r="W317" s="2">
        <v>162.9</v>
      </c>
      <c r="X317" s="2">
        <v>173.4</v>
      </c>
      <c r="Y317" s="2">
        <v>158.9</v>
      </c>
      <c r="Z317" s="2">
        <v>163.80000000000001</v>
      </c>
      <c r="AA317" s="2">
        <v>169.3</v>
      </c>
      <c r="AB317" s="2">
        <v>162.4</v>
      </c>
      <c r="AC317" s="2">
        <v>165.2</v>
      </c>
      <c r="AD317" s="2">
        <v>167.6</v>
      </c>
    </row>
    <row r="318" spans="1:30" x14ac:dyDescent="0.35">
      <c r="A318" s="2" t="s">
        <v>33</v>
      </c>
      <c r="B318" s="2">
        <v>2021</v>
      </c>
      <c r="C318" s="2" t="s">
        <v>53</v>
      </c>
      <c r="D318" s="2">
        <v>151</v>
      </c>
      <c r="E318" s="2">
        <v>204.9</v>
      </c>
      <c r="F318" s="2">
        <v>175.4</v>
      </c>
      <c r="G318" s="2">
        <v>159.6</v>
      </c>
      <c r="H318" s="2">
        <v>175.8</v>
      </c>
      <c r="I318" s="2">
        <v>160.30000000000001</v>
      </c>
      <c r="J318" s="2">
        <v>229.1</v>
      </c>
      <c r="K318" s="2">
        <v>165.1</v>
      </c>
      <c r="L318" s="2">
        <v>123.1</v>
      </c>
      <c r="M318" s="2">
        <v>167.2</v>
      </c>
      <c r="N318" s="2">
        <v>156.1</v>
      </c>
      <c r="O318" s="2">
        <v>176.8</v>
      </c>
      <c r="P318" s="2">
        <v>173.5</v>
      </c>
      <c r="Q318" s="2">
        <v>197</v>
      </c>
      <c r="R318" s="2">
        <v>162.30000000000001</v>
      </c>
      <c r="S318" s="2">
        <v>145.30000000000001</v>
      </c>
      <c r="T318" s="2">
        <v>159.69999999999999</v>
      </c>
      <c r="U318" s="2" t="s">
        <v>147</v>
      </c>
      <c r="V318" s="2">
        <v>161.6</v>
      </c>
      <c r="W318" s="2">
        <v>155.19999999999999</v>
      </c>
      <c r="X318" s="2">
        <v>164.2</v>
      </c>
      <c r="Y318" s="2">
        <v>151.19999999999999</v>
      </c>
      <c r="Z318" s="2">
        <v>156.69999999999999</v>
      </c>
      <c r="AA318" s="2">
        <v>160.80000000000001</v>
      </c>
      <c r="AB318" s="2">
        <v>161.80000000000001</v>
      </c>
      <c r="AC318" s="2">
        <v>157.30000000000001</v>
      </c>
      <c r="AD318" s="2">
        <v>165.6</v>
      </c>
    </row>
    <row r="319" spans="1:30" x14ac:dyDescent="0.35">
      <c r="A319" s="2" t="s">
        <v>35</v>
      </c>
      <c r="B319" s="2">
        <v>2021</v>
      </c>
      <c r="C319" s="2" t="s">
        <v>53</v>
      </c>
      <c r="D319" s="2">
        <v>148.19999999999999</v>
      </c>
      <c r="E319" s="2">
        <v>201.6</v>
      </c>
      <c r="F319" s="2">
        <v>173</v>
      </c>
      <c r="G319" s="2">
        <v>159.30000000000001</v>
      </c>
      <c r="H319" s="2">
        <v>190.1</v>
      </c>
      <c r="I319" s="2">
        <v>156.5</v>
      </c>
      <c r="J319" s="2">
        <v>199.2</v>
      </c>
      <c r="K319" s="2">
        <v>165.3</v>
      </c>
      <c r="L319" s="2">
        <v>122.4</v>
      </c>
      <c r="M319" s="2">
        <v>169.6</v>
      </c>
      <c r="N319" s="2">
        <v>163.69999999999999</v>
      </c>
      <c r="O319" s="2">
        <v>175.5</v>
      </c>
      <c r="P319" s="2">
        <v>169.7</v>
      </c>
      <c r="Q319" s="2">
        <v>192.9</v>
      </c>
      <c r="R319" s="2">
        <v>167.2</v>
      </c>
      <c r="S319" s="2">
        <v>157.4</v>
      </c>
      <c r="T319" s="2">
        <v>165.8</v>
      </c>
      <c r="U319" s="2" t="s">
        <v>147</v>
      </c>
      <c r="V319" s="2">
        <v>163.9</v>
      </c>
      <c r="W319" s="2">
        <v>159.30000000000001</v>
      </c>
      <c r="X319" s="2">
        <v>169.9</v>
      </c>
      <c r="Y319" s="2">
        <v>154.80000000000001</v>
      </c>
      <c r="Z319" s="2">
        <v>159.80000000000001</v>
      </c>
      <c r="AA319" s="2">
        <v>164.3</v>
      </c>
      <c r="AB319" s="2">
        <v>162.19999999999999</v>
      </c>
      <c r="AC319" s="2">
        <v>161.4</v>
      </c>
      <c r="AD319" s="2">
        <v>166.7</v>
      </c>
    </row>
    <row r="320" spans="1:30" x14ac:dyDescent="0.35">
      <c r="A320" s="2" t="s">
        <v>30</v>
      </c>
      <c r="B320" s="2">
        <v>2021</v>
      </c>
      <c r="C320" s="2" t="s">
        <v>55</v>
      </c>
      <c r="D320" s="2">
        <v>147.4</v>
      </c>
      <c r="E320" s="2">
        <v>197</v>
      </c>
      <c r="F320" s="2">
        <v>176.5</v>
      </c>
      <c r="G320" s="2">
        <v>159.80000000000001</v>
      </c>
      <c r="H320" s="2">
        <v>195.8</v>
      </c>
      <c r="I320" s="2">
        <v>152</v>
      </c>
      <c r="J320" s="2">
        <v>172.3</v>
      </c>
      <c r="K320" s="2">
        <v>164.5</v>
      </c>
      <c r="L320" s="2">
        <v>120.6</v>
      </c>
      <c r="M320" s="2">
        <v>171.7</v>
      </c>
      <c r="N320" s="2">
        <v>169.7</v>
      </c>
      <c r="O320" s="2">
        <v>175.1</v>
      </c>
      <c r="P320" s="2">
        <v>165.8</v>
      </c>
      <c r="Q320" s="2">
        <v>190.8</v>
      </c>
      <c r="R320" s="2">
        <v>171.8</v>
      </c>
      <c r="S320" s="2">
        <v>167.3</v>
      </c>
      <c r="T320" s="2">
        <v>171.2</v>
      </c>
      <c r="U320" s="2" t="s">
        <v>32</v>
      </c>
      <c r="V320" s="2">
        <v>165.6</v>
      </c>
      <c r="W320" s="2">
        <v>163.9</v>
      </c>
      <c r="X320" s="2">
        <v>174</v>
      </c>
      <c r="Y320" s="2">
        <v>160.1</v>
      </c>
      <c r="Z320" s="2">
        <v>164.5</v>
      </c>
      <c r="AA320" s="2">
        <v>169.7</v>
      </c>
      <c r="AB320" s="2">
        <v>162.80000000000001</v>
      </c>
      <c r="AC320" s="2">
        <v>166</v>
      </c>
      <c r="AD320" s="2">
        <v>167</v>
      </c>
    </row>
    <row r="321" spans="1:30" x14ac:dyDescent="0.35">
      <c r="A321" s="2" t="s">
        <v>33</v>
      </c>
      <c r="B321" s="2">
        <v>2021</v>
      </c>
      <c r="C321" s="2" t="s">
        <v>55</v>
      </c>
      <c r="D321" s="2">
        <v>151.6</v>
      </c>
      <c r="E321" s="2">
        <v>202.2</v>
      </c>
      <c r="F321" s="2">
        <v>180</v>
      </c>
      <c r="G321" s="2">
        <v>160</v>
      </c>
      <c r="H321" s="2">
        <v>173.5</v>
      </c>
      <c r="I321" s="2">
        <v>158.30000000000001</v>
      </c>
      <c r="J321" s="2">
        <v>219.5</v>
      </c>
      <c r="K321" s="2">
        <v>164.2</v>
      </c>
      <c r="L321" s="2">
        <v>121.9</v>
      </c>
      <c r="M321" s="2">
        <v>168.2</v>
      </c>
      <c r="N321" s="2">
        <v>156.5</v>
      </c>
      <c r="O321" s="2">
        <v>178.2</v>
      </c>
      <c r="P321" s="2">
        <v>172.2</v>
      </c>
      <c r="Q321" s="2">
        <v>196.8</v>
      </c>
      <c r="R321" s="2">
        <v>163.30000000000001</v>
      </c>
      <c r="S321" s="2">
        <v>146.69999999999999</v>
      </c>
      <c r="T321" s="2">
        <v>160.69999999999999</v>
      </c>
      <c r="U321" s="2" t="s">
        <v>148</v>
      </c>
      <c r="V321" s="2">
        <v>161.69999999999999</v>
      </c>
      <c r="W321" s="2">
        <v>156</v>
      </c>
      <c r="X321" s="2">
        <v>165.1</v>
      </c>
      <c r="Y321" s="2">
        <v>151.80000000000001</v>
      </c>
      <c r="Z321" s="2">
        <v>157.6</v>
      </c>
      <c r="AA321" s="2">
        <v>160.6</v>
      </c>
      <c r="AB321" s="2">
        <v>162.4</v>
      </c>
      <c r="AC321" s="2">
        <v>157.80000000000001</v>
      </c>
      <c r="AD321" s="2">
        <v>165.2</v>
      </c>
    </row>
    <row r="322" spans="1:30" x14ac:dyDescent="0.35">
      <c r="A322" s="2" t="s">
        <v>35</v>
      </c>
      <c r="B322" s="2">
        <v>2021</v>
      </c>
      <c r="C322" s="2" t="s">
        <v>55</v>
      </c>
      <c r="D322" s="2">
        <v>148.69999999999999</v>
      </c>
      <c r="E322" s="2">
        <v>198.8</v>
      </c>
      <c r="F322" s="2">
        <v>177.9</v>
      </c>
      <c r="G322" s="2">
        <v>159.9</v>
      </c>
      <c r="H322" s="2">
        <v>187.6</v>
      </c>
      <c r="I322" s="2">
        <v>154.9</v>
      </c>
      <c r="J322" s="2">
        <v>188.3</v>
      </c>
      <c r="K322" s="2">
        <v>164.4</v>
      </c>
      <c r="L322" s="2">
        <v>121</v>
      </c>
      <c r="M322" s="2">
        <v>170.5</v>
      </c>
      <c r="N322" s="2">
        <v>164.2</v>
      </c>
      <c r="O322" s="2">
        <v>176.5</v>
      </c>
      <c r="P322" s="2">
        <v>168.2</v>
      </c>
      <c r="Q322" s="2">
        <v>192.4</v>
      </c>
      <c r="R322" s="2">
        <v>168.5</v>
      </c>
      <c r="S322" s="2">
        <v>158.69999999999999</v>
      </c>
      <c r="T322" s="2">
        <v>167</v>
      </c>
      <c r="U322" s="2" t="s">
        <v>148</v>
      </c>
      <c r="V322" s="2">
        <v>164.1</v>
      </c>
      <c r="W322" s="2">
        <v>160.19999999999999</v>
      </c>
      <c r="X322" s="2">
        <v>170.6</v>
      </c>
      <c r="Y322" s="2">
        <v>155.69999999999999</v>
      </c>
      <c r="Z322" s="2">
        <v>160.6</v>
      </c>
      <c r="AA322" s="2">
        <v>164.4</v>
      </c>
      <c r="AB322" s="2">
        <v>162.6</v>
      </c>
      <c r="AC322" s="2">
        <v>162</v>
      </c>
      <c r="AD322" s="2">
        <v>166.2</v>
      </c>
    </row>
    <row r="323" spans="1:30" x14ac:dyDescent="0.35">
      <c r="A323" s="2" t="s">
        <v>30</v>
      </c>
      <c r="B323" s="2">
        <v>2022</v>
      </c>
      <c r="C323" s="2" t="s">
        <v>31</v>
      </c>
      <c r="D323" s="2">
        <v>148.30000000000001</v>
      </c>
      <c r="E323" s="2">
        <v>196.9</v>
      </c>
      <c r="F323" s="2">
        <v>178</v>
      </c>
      <c r="G323" s="2">
        <v>160.5</v>
      </c>
      <c r="H323" s="2">
        <v>192.6</v>
      </c>
      <c r="I323" s="2">
        <v>151.19999999999999</v>
      </c>
      <c r="J323" s="2">
        <v>159.19999999999999</v>
      </c>
      <c r="K323" s="2">
        <v>164</v>
      </c>
      <c r="L323" s="2">
        <v>119.3</v>
      </c>
      <c r="M323" s="2">
        <v>173.3</v>
      </c>
      <c r="N323" s="2">
        <v>169.8</v>
      </c>
      <c r="O323" s="2">
        <v>175.8</v>
      </c>
      <c r="P323" s="2">
        <v>164.1</v>
      </c>
      <c r="Q323" s="2">
        <v>190.7</v>
      </c>
      <c r="R323" s="2">
        <v>173.2</v>
      </c>
      <c r="S323" s="2">
        <v>169.3</v>
      </c>
      <c r="T323" s="2">
        <v>172.7</v>
      </c>
      <c r="U323" s="2" t="s">
        <v>32</v>
      </c>
      <c r="V323" s="2">
        <v>165.8</v>
      </c>
      <c r="W323" s="2">
        <v>164.9</v>
      </c>
      <c r="X323" s="2">
        <v>174.7</v>
      </c>
      <c r="Y323" s="2">
        <v>160.80000000000001</v>
      </c>
      <c r="Z323" s="2">
        <v>164.9</v>
      </c>
      <c r="AA323" s="2">
        <v>169.9</v>
      </c>
      <c r="AB323" s="2">
        <v>163.19999999999999</v>
      </c>
      <c r="AC323" s="2">
        <v>166.6</v>
      </c>
      <c r="AD323" s="2">
        <v>166.4</v>
      </c>
    </row>
    <row r="324" spans="1:30" x14ac:dyDescent="0.35">
      <c r="A324" s="2" t="s">
        <v>33</v>
      </c>
      <c r="B324" s="2">
        <v>2022</v>
      </c>
      <c r="C324" s="2" t="s">
        <v>31</v>
      </c>
      <c r="D324" s="2">
        <v>152.19999999999999</v>
      </c>
      <c r="E324" s="2">
        <v>202.1</v>
      </c>
      <c r="F324" s="2">
        <v>180.1</v>
      </c>
      <c r="G324" s="2">
        <v>160.4</v>
      </c>
      <c r="H324" s="2">
        <v>171</v>
      </c>
      <c r="I324" s="2">
        <v>156.5</v>
      </c>
      <c r="J324" s="2">
        <v>203.6</v>
      </c>
      <c r="K324" s="2">
        <v>163.80000000000001</v>
      </c>
      <c r="L324" s="2">
        <v>121.3</v>
      </c>
      <c r="M324" s="2">
        <v>169.8</v>
      </c>
      <c r="N324" s="2">
        <v>156.6</v>
      </c>
      <c r="O324" s="2">
        <v>179</v>
      </c>
      <c r="P324" s="2">
        <v>170.3</v>
      </c>
      <c r="Q324" s="2">
        <v>196.4</v>
      </c>
      <c r="R324" s="2">
        <v>164.7</v>
      </c>
      <c r="S324" s="2">
        <v>148.5</v>
      </c>
      <c r="T324" s="2">
        <v>162.19999999999999</v>
      </c>
      <c r="U324" s="2" t="s">
        <v>149</v>
      </c>
      <c r="V324" s="2">
        <v>161.6</v>
      </c>
      <c r="W324" s="2">
        <v>156.80000000000001</v>
      </c>
      <c r="X324" s="2">
        <v>166.1</v>
      </c>
      <c r="Y324" s="2">
        <v>152.69999999999999</v>
      </c>
      <c r="Z324" s="2">
        <v>158.4</v>
      </c>
      <c r="AA324" s="2">
        <v>161</v>
      </c>
      <c r="AB324" s="2">
        <v>162.80000000000001</v>
      </c>
      <c r="AC324" s="2">
        <v>158.6</v>
      </c>
      <c r="AD324" s="2">
        <v>165</v>
      </c>
    </row>
    <row r="325" spans="1:30" x14ac:dyDescent="0.35">
      <c r="A325" s="2" t="s">
        <v>35</v>
      </c>
      <c r="B325" s="2">
        <v>2022</v>
      </c>
      <c r="C325" s="2" t="s">
        <v>31</v>
      </c>
      <c r="D325" s="2">
        <v>149.5</v>
      </c>
      <c r="E325" s="2">
        <v>198.7</v>
      </c>
      <c r="F325" s="2">
        <v>178.8</v>
      </c>
      <c r="G325" s="2">
        <v>160.5</v>
      </c>
      <c r="H325" s="2">
        <v>184.7</v>
      </c>
      <c r="I325" s="2">
        <v>153.69999999999999</v>
      </c>
      <c r="J325" s="2">
        <v>174.3</v>
      </c>
      <c r="K325" s="2">
        <v>163.9</v>
      </c>
      <c r="L325" s="2">
        <v>120</v>
      </c>
      <c r="M325" s="2">
        <v>172.1</v>
      </c>
      <c r="N325" s="2">
        <v>164.3</v>
      </c>
      <c r="O325" s="2">
        <v>177.3</v>
      </c>
      <c r="P325" s="2">
        <v>166.4</v>
      </c>
      <c r="Q325" s="2">
        <v>192.2</v>
      </c>
      <c r="R325" s="2">
        <v>169.9</v>
      </c>
      <c r="S325" s="2">
        <v>160.69999999999999</v>
      </c>
      <c r="T325" s="2">
        <v>168.5</v>
      </c>
      <c r="U325" s="2" t="s">
        <v>149</v>
      </c>
      <c r="V325" s="2">
        <v>164.2</v>
      </c>
      <c r="W325" s="2">
        <v>161.1</v>
      </c>
      <c r="X325" s="2">
        <v>171.4</v>
      </c>
      <c r="Y325" s="2">
        <v>156.5</v>
      </c>
      <c r="Z325" s="2">
        <v>161.19999999999999</v>
      </c>
      <c r="AA325" s="2">
        <v>164.7</v>
      </c>
      <c r="AB325" s="2">
        <v>163</v>
      </c>
      <c r="AC325" s="2">
        <v>162.69999999999999</v>
      </c>
      <c r="AD325" s="2">
        <v>165.7</v>
      </c>
    </row>
    <row r="326" spans="1:30" x14ac:dyDescent="0.35">
      <c r="A326" s="2" t="s">
        <v>30</v>
      </c>
      <c r="B326" s="2">
        <v>2022</v>
      </c>
      <c r="C326" s="2" t="s">
        <v>36</v>
      </c>
      <c r="D326" s="2">
        <v>148.80000000000001</v>
      </c>
      <c r="E326" s="2">
        <v>198.1</v>
      </c>
      <c r="F326" s="2">
        <v>175.5</v>
      </c>
      <c r="G326" s="2">
        <v>160.69999999999999</v>
      </c>
      <c r="H326" s="2">
        <v>192.6</v>
      </c>
      <c r="I326" s="2">
        <v>151.4</v>
      </c>
      <c r="J326" s="2">
        <v>155.19999999999999</v>
      </c>
      <c r="K326" s="2">
        <v>163.9</v>
      </c>
      <c r="L326" s="2">
        <v>118.1</v>
      </c>
      <c r="M326" s="2">
        <v>175.4</v>
      </c>
      <c r="N326" s="2">
        <v>170.5</v>
      </c>
      <c r="O326" s="2">
        <v>176.3</v>
      </c>
      <c r="P326" s="2">
        <v>163.9</v>
      </c>
      <c r="Q326" s="2">
        <v>191.5</v>
      </c>
      <c r="R326" s="2">
        <v>174.1</v>
      </c>
      <c r="S326" s="2">
        <v>171</v>
      </c>
      <c r="T326" s="2">
        <v>173.7</v>
      </c>
      <c r="U326" s="2" t="s">
        <v>32</v>
      </c>
      <c r="V326" s="2">
        <v>167.4</v>
      </c>
      <c r="W326" s="2">
        <v>165.7</v>
      </c>
      <c r="X326" s="2">
        <v>175.3</v>
      </c>
      <c r="Y326" s="2">
        <v>161.19999999999999</v>
      </c>
      <c r="Z326" s="2">
        <v>165.5</v>
      </c>
      <c r="AA326" s="2">
        <v>170.3</v>
      </c>
      <c r="AB326" s="2">
        <v>164.5</v>
      </c>
      <c r="AC326" s="2">
        <v>167.3</v>
      </c>
      <c r="AD326" s="2">
        <v>166.7</v>
      </c>
    </row>
    <row r="327" spans="1:30" x14ac:dyDescent="0.35">
      <c r="A327" s="2" t="s">
        <v>33</v>
      </c>
      <c r="B327" s="2">
        <v>2022</v>
      </c>
      <c r="C327" s="2" t="s">
        <v>36</v>
      </c>
      <c r="D327" s="2">
        <v>152.5</v>
      </c>
      <c r="E327" s="2">
        <v>205.2</v>
      </c>
      <c r="F327" s="2">
        <v>176.4</v>
      </c>
      <c r="G327" s="2">
        <v>160.6</v>
      </c>
      <c r="H327" s="2">
        <v>171.5</v>
      </c>
      <c r="I327" s="2">
        <v>156.4</v>
      </c>
      <c r="J327" s="2">
        <v>198</v>
      </c>
      <c r="K327" s="2">
        <v>163.19999999999999</v>
      </c>
      <c r="L327" s="2">
        <v>120.6</v>
      </c>
      <c r="M327" s="2">
        <v>172.2</v>
      </c>
      <c r="N327" s="2">
        <v>156.69999999999999</v>
      </c>
      <c r="O327" s="2">
        <v>180</v>
      </c>
      <c r="P327" s="2">
        <v>170.2</v>
      </c>
      <c r="Q327" s="2">
        <v>196.5</v>
      </c>
      <c r="R327" s="2">
        <v>165.7</v>
      </c>
      <c r="S327" s="2">
        <v>150.4</v>
      </c>
      <c r="T327" s="2">
        <v>163.4</v>
      </c>
      <c r="U327" s="2" t="s">
        <v>150</v>
      </c>
      <c r="V327" s="2">
        <v>163</v>
      </c>
      <c r="W327" s="2">
        <v>157.4</v>
      </c>
      <c r="X327" s="2">
        <v>167.2</v>
      </c>
      <c r="Y327" s="2">
        <v>153.1</v>
      </c>
      <c r="Z327" s="2">
        <v>159.5</v>
      </c>
      <c r="AA327" s="2">
        <v>162</v>
      </c>
      <c r="AB327" s="2">
        <v>164.2</v>
      </c>
      <c r="AC327" s="2">
        <v>159.4</v>
      </c>
      <c r="AD327" s="2">
        <v>165.5</v>
      </c>
    </row>
    <row r="328" spans="1:30" x14ac:dyDescent="0.35">
      <c r="A328" s="2" t="s">
        <v>35</v>
      </c>
      <c r="B328" s="2">
        <v>2022</v>
      </c>
      <c r="C328" s="2" t="s">
        <v>36</v>
      </c>
      <c r="D328" s="2">
        <v>150</v>
      </c>
      <c r="E328" s="2">
        <v>200.6</v>
      </c>
      <c r="F328" s="2">
        <v>175.8</v>
      </c>
      <c r="G328" s="2">
        <v>160.69999999999999</v>
      </c>
      <c r="H328" s="2">
        <v>184.9</v>
      </c>
      <c r="I328" s="2">
        <v>153.69999999999999</v>
      </c>
      <c r="J328" s="2">
        <v>169.7</v>
      </c>
      <c r="K328" s="2">
        <v>163.69999999999999</v>
      </c>
      <c r="L328" s="2">
        <v>118.9</v>
      </c>
      <c r="M328" s="2">
        <v>174.3</v>
      </c>
      <c r="N328" s="2">
        <v>164.7</v>
      </c>
      <c r="O328" s="2">
        <v>178</v>
      </c>
      <c r="P328" s="2">
        <v>166.2</v>
      </c>
      <c r="Q328" s="2">
        <v>192.8</v>
      </c>
      <c r="R328" s="2">
        <v>170.8</v>
      </c>
      <c r="S328" s="2">
        <v>162.4</v>
      </c>
      <c r="T328" s="2">
        <v>169.6</v>
      </c>
      <c r="U328" s="2" t="s">
        <v>150</v>
      </c>
      <c r="V328" s="2">
        <v>165.7</v>
      </c>
      <c r="W328" s="2">
        <v>161.80000000000001</v>
      </c>
      <c r="X328" s="2">
        <v>172.2</v>
      </c>
      <c r="Y328" s="2">
        <v>156.9</v>
      </c>
      <c r="Z328" s="2">
        <v>162.1</v>
      </c>
      <c r="AA328" s="2">
        <v>165.4</v>
      </c>
      <c r="AB328" s="2">
        <v>164.4</v>
      </c>
      <c r="AC328" s="2">
        <v>163.5</v>
      </c>
      <c r="AD328" s="2">
        <v>166.1</v>
      </c>
    </row>
    <row r="329" spans="1:30" x14ac:dyDescent="0.35">
      <c r="A329" s="2" t="s">
        <v>30</v>
      </c>
      <c r="B329" s="2">
        <v>2022</v>
      </c>
      <c r="C329" s="2" t="s">
        <v>38</v>
      </c>
      <c r="D329" s="2">
        <v>150.19999999999999</v>
      </c>
      <c r="E329" s="2">
        <v>208</v>
      </c>
      <c r="F329" s="2">
        <v>167.9</v>
      </c>
      <c r="G329" s="2">
        <v>162</v>
      </c>
      <c r="H329" s="2">
        <v>203.1</v>
      </c>
      <c r="I329" s="2">
        <v>155.9</v>
      </c>
      <c r="J329" s="2">
        <v>155.80000000000001</v>
      </c>
      <c r="K329" s="2">
        <v>164.2</v>
      </c>
      <c r="L329" s="2">
        <v>118.1</v>
      </c>
      <c r="M329" s="2">
        <v>178.7</v>
      </c>
      <c r="N329" s="2">
        <v>171.2</v>
      </c>
      <c r="O329" s="2">
        <v>177.4</v>
      </c>
      <c r="P329" s="2">
        <v>166.6</v>
      </c>
      <c r="Q329" s="2">
        <v>192.3</v>
      </c>
      <c r="R329" s="2">
        <v>175.4</v>
      </c>
      <c r="S329" s="2">
        <v>173.2</v>
      </c>
      <c r="T329" s="2">
        <v>175.1</v>
      </c>
      <c r="U329" s="2" t="s">
        <v>32</v>
      </c>
      <c r="V329" s="2">
        <v>168.9</v>
      </c>
      <c r="W329" s="2">
        <v>166.5</v>
      </c>
      <c r="X329" s="2">
        <v>176</v>
      </c>
      <c r="Y329" s="2">
        <v>162</v>
      </c>
      <c r="Z329" s="2">
        <v>166.6</v>
      </c>
      <c r="AA329" s="2">
        <v>170.6</v>
      </c>
      <c r="AB329" s="2">
        <v>167.4</v>
      </c>
      <c r="AC329" s="2">
        <v>168.3</v>
      </c>
      <c r="AD329" s="2">
        <v>168.7</v>
      </c>
    </row>
    <row r="330" spans="1:30" x14ac:dyDescent="0.35">
      <c r="A330" s="2" t="s">
        <v>33</v>
      </c>
      <c r="B330" s="2">
        <v>2022</v>
      </c>
      <c r="C330" s="2" t="s">
        <v>38</v>
      </c>
      <c r="D330" s="2">
        <v>153.69999999999999</v>
      </c>
      <c r="E330" s="2">
        <v>215.8</v>
      </c>
      <c r="F330" s="2">
        <v>167.7</v>
      </c>
      <c r="G330" s="2">
        <v>162.6</v>
      </c>
      <c r="H330" s="2">
        <v>180</v>
      </c>
      <c r="I330" s="2">
        <v>159.6</v>
      </c>
      <c r="J330" s="2">
        <v>188.4</v>
      </c>
      <c r="K330" s="2">
        <v>163.4</v>
      </c>
      <c r="L330" s="2">
        <v>120.3</v>
      </c>
      <c r="M330" s="2">
        <v>174.7</v>
      </c>
      <c r="N330" s="2">
        <v>157.1</v>
      </c>
      <c r="O330" s="2">
        <v>181.5</v>
      </c>
      <c r="P330" s="2">
        <v>171.5</v>
      </c>
      <c r="Q330" s="2">
        <v>197.5</v>
      </c>
      <c r="R330" s="2">
        <v>167.1</v>
      </c>
      <c r="S330" s="2">
        <v>152.6</v>
      </c>
      <c r="T330" s="2">
        <v>164.9</v>
      </c>
      <c r="U330" s="2" t="s">
        <v>151</v>
      </c>
      <c r="V330" s="2">
        <v>164.5</v>
      </c>
      <c r="W330" s="2">
        <v>158.6</v>
      </c>
      <c r="X330" s="2">
        <v>168.2</v>
      </c>
      <c r="Y330" s="2">
        <v>154.19999999999999</v>
      </c>
      <c r="Z330" s="2">
        <v>160.80000000000001</v>
      </c>
      <c r="AA330" s="2">
        <v>162.69999999999999</v>
      </c>
      <c r="AB330" s="2">
        <v>166.8</v>
      </c>
      <c r="AC330" s="2">
        <v>160.6</v>
      </c>
      <c r="AD330" s="2">
        <v>166.5</v>
      </c>
    </row>
    <row r="331" spans="1:30" x14ac:dyDescent="0.35">
      <c r="A331" s="2" t="s">
        <v>35</v>
      </c>
      <c r="B331" s="2">
        <v>2022</v>
      </c>
      <c r="C331" s="2" t="s">
        <v>38</v>
      </c>
      <c r="D331" s="2">
        <v>151.30000000000001</v>
      </c>
      <c r="E331" s="2">
        <v>210.7</v>
      </c>
      <c r="F331" s="2">
        <v>167.8</v>
      </c>
      <c r="G331" s="2">
        <v>162.19999999999999</v>
      </c>
      <c r="H331" s="2">
        <v>194.6</v>
      </c>
      <c r="I331" s="2">
        <v>157.6</v>
      </c>
      <c r="J331" s="2">
        <v>166.9</v>
      </c>
      <c r="K331" s="2">
        <v>163.9</v>
      </c>
      <c r="L331" s="2">
        <v>118.8</v>
      </c>
      <c r="M331" s="2">
        <v>177.4</v>
      </c>
      <c r="N331" s="2">
        <v>165.3</v>
      </c>
      <c r="O331" s="2">
        <v>179.3</v>
      </c>
      <c r="P331" s="2">
        <v>168.4</v>
      </c>
      <c r="Q331" s="2">
        <v>193.7</v>
      </c>
      <c r="R331" s="2">
        <v>172.1</v>
      </c>
      <c r="S331" s="2">
        <v>164.6</v>
      </c>
      <c r="T331" s="2">
        <v>171.1</v>
      </c>
      <c r="U331" s="2" t="s">
        <v>151</v>
      </c>
      <c r="V331" s="2">
        <v>167.2</v>
      </c>
      <c r="W331" s="2">
        <v>162.80000000000001</v>
      </c>
      <c r="X331" s="2">
        <v>173</v>
      </c>
      <c r="Y331" s="2">
        <v>157.9</v>
      </c>
      <c r="Z331" s="2">
        <v>163.30000000000001</v>
      </c>
      <c r="AA331" s="2">
        <v>166</v>
      </c>
      <c r="AB331" s="2">
        <v>167.2</v>
      </c>
      <c r="AC331" s="2">
        <v>164.6</v>
      </c>
      <c r="AD331" s="2">
        <v>167.7</v>
      </c>
    </row>
    <row r="332" spans="1:30" x14ac:dyDescent="0.35">
      <c r="A332" s="2" t="s">
        <v>30</v>
      </c>
      <c r="B332" s="2">
        <v>2022</v>
      </c>
      <c r="C332" s="2" t="s">
        <v>39</v>
      </c>
      <c r="D332" s="2">
        <v>151.80000000000001</v>
      </c>
      <c r="E332" s="2">
        <v>209.7</v>
      </c>
      <c r="F332" s="2">
        <v>164.5</v>
      </c>
      <c r="G332" s="2">
        <v>163.80000000000001</v>
      </c>
      <c r="H332" s="2">
        <v>207.4</v>
      </c>
      <c r="I332" s="2">
        <v>169.7</v>
      </c>
      <c r="J332" s="2">
        <v>153.6</v>
      </c>
      <c r="K332" s="2">
        <v>165.1</v>
      </c>
      <c r="L332" s="2">
        <v>118.2</v>
      </c>
      <c r="M332" s="2">
        <v>182.9</v>
      </c>
      <c r="N332" s="2">
        <v>172.4</v>
      </c>
      <c r="O332" s="2">
        <v>178.9</v>
      </c>
      <c r="P332" s="2">
        <v>168.6</v>
      </c>
      <c r="Q332" s="2">
        <v>192.8</v>
      </c>
      <c r="R332" s="2">
        <v>177.5</v>
      </c>
      <c r="S332" s="2">
        <v>175.1</v>
      </c>
      <c r="T332" s="2">
        <v>177.1</v>
      </c>
      <c r="U332" s="2" t="s">
        <v>32</v>
      </c>
      <c r="V332" s="2">
        <v>173.3</v>
      </c>
      <c r="W332" s="2">
        <v>167.7</v>
      </c>
      <c r="X332" s="2">
        <v>177</v>
      </c>
      <c r="Y332" s="2">
        <v>166.2</v>
      </c>
      <c r="Z332" s="2">
        <v>167.2</v>
      </c>
      <c r="AA332" s="2">
        <v>170.9</v>
      </c>
      <c r="AB332" s="2">
        <v>169</v>
      </c>
      <c r="AC332" s="2">
        <v>170.2</v>
      </c>
      <c r="AD332" s="2">
        <v>170.8</v>
      </c>
    </row>
    <row r="333" spans="1:30" x14ac:dyDescent="0.35">
      <c r="A333" s="2" t="s">
        <v>33</v>
      </c>
      <c r="B333" s="2">
        <v>2022</v>
      </c>
      <c r="C333" s="2" t="s">
        <v>39</v>
      </c>
      <c r="D333" s="2">
        <v>155.4</v>
      </c>
      <c r="E333" s="2">
        <v>215.8</v>
      </c>
      <c r="F333" s="2">
        <v>164.6</v>
      </c>
      <c r="G333" s="2">
        <v>164.2</v>
      </c>
      <c r="H333" s="2">
        <v>186</v>
      </c>
      <c r="I333" s="2">
        <v>175.9</v>
      </c>
      <c r="J333" s="2">
        <v>190.7</v>
      </c>
      <c r="K333" s="2">
        <v>164</v>
      </c>
      <c r="L333" s="2">
        <v>120.5</v>
      </c>
      <c r="M333" s="2">
        <v>178</v>
      </c>
      <c r="N333" s="2">
        <v>157.5</v>
      </c>
      <c r="O333" s="2">
        <v>183.3</v>
      </c>
      <c r="P333" s="2">
        <v>174.5</v>
      </c>
      <c r="Q333" s="2">
        <v>197.1</v>
      </c>
      <c r="R333" s="2">
        <v>168.4</v>
      </c>
      <c r="S333" s="2">
        <v>154.5</v>
      </c>
      <c r="T333" s="2">
        <v>166.3</v>
      </c>
      <c r="U333" s="2" t="s">
        <v>152</v>
      </c>
      <c r="V333" s="2">
        <v>170.5</v>
      </c>
      <c r="W333" s="2">
        <v>159.80000000000001</v>
      </c>
      <c r="X333" s="2">
        <v>169</v>
      </c>
      <c r="Y333" s="2">
        <v>159.30000000000001</v>
      </c>
      <c r="Z333" s="2">
        <v>162.19999999999999</v>
      </c>
      <c r="AA333" s="2">
        <v>164</v>
      </c>
      <c r="AB333" s="2">
        <v>168.4</v>
      </c>
      <c r="AC333" s="2">
        <v>163.1</v>
      </c>
      <c r="AD333" s="2">
        <v>169.2</v>
      </c>
    </row>
    <row r="334" spans="1:30" x14ac:dyDescent="0.35">
      <c r="A334" s="2" t="s">
        <v>35</v>
      </c>
      <c r="B334" s="2">
        <v>2022</v>
      </c>
      <c r="C334" s="2" t="s">
        <v>39</v>
      </c>
      <c r="D334" s="2">
        <v>152.9</v>
      </c>
      <c r="E334" s="2">
        <v>211.8</v>
      </c>
      <c r="F334" s="2">
        <v>164.5</v>
      </c>
      <c r="G334" s="2">
        <v>163.9</v>
      </c>
      <c r="H334" s="2">
        <v>199.5</v>
      </c>
      <c r="I334" s="2">
        <v>172.6</v>
      </c>
      <c r="J334" s="2">
        <v>166.2</v>
      </c>
      <c r="K334" s="2">
        <v>164.7</v>
      </c>
      <c r="L334" s="2">
        <v>119</v>
      </c>
      <c r="M334" s="2">
        <v>181.3</v>
      </c>
      <c r="N334" s="2">
        <v>166.2</v>
      </c>
      <c r="O334" s="2">
        <v>180.9</v>
      </c>
      <c r="P334" s="2">
        <v>170.8</v>
      </c>
      <c r="Q334" s="2">
        <v>193.9</v>
      </c>
      <c r="R334" s="2">
        <v>173.9</v>
      </c>
      <c r="S334" s="2">
        <v>166.5</v>
      </c>
      <c r="T334" s="2">
        <v>172.8</v>
      </c>
      <c r="U334" s="2" t="s">
        <v>152</v>
      </c>
      <c r="V334" s="2">
        <v>172.2</v>
      </c>
      <c r="W334" s="2">
        <v>164</v>
      </c>
      <c r="X334" s="2">
        <v>174</v>
      </c>
      <c r="Y334" s="2">
        <v>162.6</v>
      </c>
      <c r="Z334" s="2">
        <v>164.4</v>
      </c>
      <c r="AA334" s="2">
        <v>166.9</v>
      </c>
      <c r="AB334" s="2">
        <v>168.8</v>
      </c>
      <c r="AC334" s="2">
        <v>166.8</v>
      </c>
      <c r="AD334" s="2">
        <v>170.1</v>
      </c>
    </row>
    <row r="335" spans="1:30" x14ac:dyDescent="0.35">
      <c r="A335" s="2" t="s">
        <v>30</v>
      </c>
      <c r="B335" s="2">
        <v>2022</v>
      </c>
      <c r="C335" s="2" t="s">
        <v>41</v>
      </c>
      <c r="D335" s="2">
        <v>152.9</v>
      </c>
      <c r="E335" s="2">
        <v>214.7</v>
      </c>
      <c r="F335" s="2">
        <v>161.4</v>
      </c>
      <c r="G335" s="2">
        <v>164.6</v>
      </c>
      <c r="H335" s="2">
        <v>209.9</v>
      </c>
      <c r="I335" s="2">
        <v>168</v>
      </c>
      <c r="J335" s="2">
        <v>160.4</v>
      </c>
      <c r="K335" s="2">
        <v>165</v>
      </c>
      <c r="L335" s="2">
        <v>118.9</v>
      </c>
      <c r="M335" s="2">
        <v>186.6</v>
      </c>
      <c r="N335" s="2">
        <v>173.2</v>
      </c>
      <c r="O335" s="2">
        <v>180.4</v>
      </c>
      <c r="P335" s="2">
        <v>170.8</v>
      </c>
      <c r="Q335" s="2">
        <v>192.9</v>
      </c>
      <c r="R335" s="2">
        <v>179.3</v>
      </c>
      <c r="S335" s="2">
        <v>177.2</v>
      </c>
      <c r="T335" s="2">
        <v>179</v>
      </c>
      <c r="U335" s="2" t="s">
        <v>32</v>
      </c>
      <c r="V335" s="2">
        <v>175.3</v>
      </c>
      <c r="W335" s="2">
        <v>168.9</v>
      </c>
      <c r="X335" s="2">
        <v>177.7</v>
      </c>
      <c r="Y335" s="2">
        <v>167.1</v>
      </c>
      <c r="Z335" s="2">
        <v>167.6</v>
      </c>
      <c r="AA335" s="2">
        <v>171.8</v>
      </c>
      <c r="AB335" s="2">
        <v>168.5</v>
      </c>
      <c r="AC335" s="2">
        <v>170.9</v>
      </c>
      <c r="AD335" s="2">
        <v>172.5</v>
      </c>
    </row>
    <row r="336" spans="1:30" x14ac:dyDescent="0.35">
      <c r="A336" s="2" t="s">
        <v>33</v>
      </c>
      <c r="B336" s="2">
        <v>2022</v>
      </c>
      <c r="C336" s="2" t="s">
        <v>41</v>
      </c>
      <c r="D336" s="2">
        <v>156.69999999999999</v>
      </c>
      <c r="E336" s="2">
        <v>221.2</v>
      </c>
      <c r="F336" s="2">
        <v>164.1</v>
      </c>
      <c r="G336" s="2">
        <v>165.4</v>
      </c>
      <c r="H336" s="2">
        <v>189.5</v>
      </c>
      <c r="I336" s="2">
        <v>174.5</v>
      </c>
      <c r="J336" s="2">
        <v>203.2</v>
      </c>
      <c r="K336" s="2">
        <v>164.1</v>
      </c>
      <c r="L336" s="2">
        <v>121.2</v>
      </c>
      <c r="M336" s="2">
        <v>181.4</v>
      </c>
      <c r="N336" s="2">
        <v>158.5</v>
      </c>
      <c r="O336" s="2">
        <v>184.9</v>
      </c>
      <c r="P336" s="2">
        <v>177.5</v>
      </c>
      <c r="Q336" s="2">
        <v>197.5</v>
      </c>
      <c r="R336" s="2">
        <v>170</v>
      </c>
      <c r="S336" s="2">
        <v>155.9</v>
      </c>
      <c r="T336" s="2">
        <v>167.8</v>
      </c>
      <c r="U336" s="2" t="s">
        <v>153</v>
      </c>
      <c r="V336" s="2">
        <v>173.5</v>
      </c>
      <c r="W336" s="2">
        <v>161.1</v>
      </c>
      <c r="X336" s="2">
        <v>170.1</v>
      </c>
      <c r="Y336" s="2">
        <v>159.4</v>
      </c>
      <c r="Z336" s="2">
        <v>163.19999999999999</v>
      </c>
      <c r="AA336" s="2">
        <v>165.2</v>
      </c>
      <c r="AB336" s="2">
        <v>168.2</v>
      </c>
      <c r="AC336" s="2">
        <v>163.80000000000001</v>
      </c>
      <c r="AD336" s="2">
        <v>170.8</v>
      </c>
    </row>
    <row r="337" spans="1:30" x14ac:dyDescent="0.35">
      <c r="A337" s="2" t="s">
        <v>35</v>
      </c>
      <c r="B337" s="2">
        <v>2022</v>
      </c>
      <c r="C337" s="2" t="s">
        <v>41</v>
      </c>
      <c r="D337" s="2">
        <v>154.1</v>
      </c>
      <c r="E337" s="2">
        <v>217</v>
      </c>
      <c r="F337" s="2">
        <v>162.4</v>
      </c>
      <c r="G337" s="2">
        <v>164.9</v>
      </c>
      <c r="H337" s="2">
        <v>202.4</v>
      </c>
      <c r="I337" s="2">
        <v>171</v>
      </c>
      <c r="J337" s="2">
        <v>174.9</v>
      </c>
      <c r="K337" s="2">
        <v>164.7</v>
      </c>
      <c r="L337" s="2">
        <v>119.7</v>
      </c>
      <c r="M337" s="2">
        <v>184.9</v>
      </c>
      <c r="N337" s="2">
        <v>167.1</v>
      </c>
      <c r="O337" s="2">
        <v>182.5</v>
      </c>
      <c r="P337" s="2">
        <v>173.3</v>
      </c>
      <c r="Q337" s="2">
        <v>194.1</v>
      </c>
      <c r="R337" s="2">
        <v>175.6</v>
      </c>
      <c r="S337" s="2">
        <v>168.4</v>
      </c>
      <c r="T337" s="2">
        <v>174.6</v>
      </c>
      <c r="U337" s="2" t="s">
        <v>153</v>
      </c>
      <c r="V337" s="2">
        <v>174.6</v>
      </c>
      <c r="W337" s="2">
        <v>165.2</v>
      </c>
      <c r="X337" s="2">
        <v>174.8</v>
      </c>
      <c r="Y337" s="2">
        <v>163</v>
      </c>
      <c r="Z337" s="2">
        <v>165.1</v>
      </c>
      <c r="AA337" s="2">
        <v>167.9</v>
      </c>
      <c r="AB337" s="2">
        <v>168.4</v>
      </c>
      <c r="AC337" s="2">
        <v>167.5</v>
      </c>
      <c r="AD337" s="2">
        <v>171.7</v>
      </c>
    </row>
    <row r="338" spans="1:30" x14ac:dyDescent="0.35">
      <c r="A338" s="2" t="s">
        <v>30</v>
      </c>
      <c r="B338" s="2">
        <v>2022</v>
      </c>
      <c r="C338" s="2" t="s">
        <v>42</v>
      </c>
      <c r="D338" s="2">
        <v>153.80000000000001</v>
      </c>
      <c r="E338" s="2">
        <v>217.2</v>
      </c>
      <c r="F338" s="2">
        <v>169.6</v>
      </c>
      <c r="G338" s="2">
        <v>165.4</v>
      </c>
      <c r="H338" s="2">
        <v>208.1</v>
      </c>
      <c r="I338" s="2">
        <v>165.8</v>
      </c>
      <c r="J338" s="2">
        <v>167.3</v>
      </c>
      <c r="K338" s="2">
        <v>164.6</v>
      </c>
      <c r="L338" s="2">
        <v>119.1</v>
      </c>
      <c r="M338" s="2">
        <v>188.9</v>
      </c>
      <c r="N338" s="2">
        <v>174.2</v>
      </c>
      <c r="O338" s="2">
        <v>181.9</v>
      </c>
      <c r="P338" s="2">
        <v>172.4</v>
      </c>
      <c r="Q338" s="2">
        <v>192.9</v>
      </c>
      <c r="R338" s="2">
        <v>180.7</v>
      </c>
      <c r="S338" s="2">
        <v>178.7</v>
      </c>
      <c r="T338" s="2">
        <v>180.4</v>
      </c>
      <c r="U338" s="2" t="s">
        <v>32</v>
      </c>
      <c r="V338" s="2">
        <v>176.7</v>
      </c>
      <c r="W338" s="2">
        <v>170.3</v>
      </c>
      <c r="X338" s="2">
        <v>178.2</v>
      </c>
      <c r="Y338" s="2">
        <v>165.5</v>
      </c>
      <c r="Z338" s="2">
        <v>168</v>
      </c>
      <c r="AA338" s="2">
        <v>172.6</v>
      </c>
      <c r="AB338" s="2">
        <v>169.5</v>
      </c>
      <c r="AC338" s="2">
        <v>171</v>
      </c>
      <c r="AD338" s="2">
        <v>173.6</v>
      </c>
    </row>
    <row r="339" spans="1:30" x14ac:dyDescent="0.35">
      <c r="A339" s="2" t="s">
        <v>33</v>
      </c>
      <c r="B339" s="2">
        <v>2022</v>
      </c>
      <c r="C339" s="2" t="s">
        <v>42</v>
      </c>
      <c r="D339" s="2">
        <v>157.5</v>
      </c>
      <c r="E339" s="2">
        <v>223.4</v>
      </c>
      <c r="F339" s="2">
        <v>172.8</v>
      </c>
      <c r="G339" s="2">
        <v>166.4</v>
      </c>
      <c r="H339" s="2">
        <v>188.6</v>
      </c>
      <c r="I339" s="2">
        <v>174.1</v>
      </c>
      <c r="J339" s="2">
        <v>211.5</v>
      </c>
      <c r="K339" s="2">
        <v>163.6</v>
      </c>
      <c r="L339" s="2">
        <v>121.4</v>
      </c>
      <c r="M339" s="2">
        <v>183.5</v>
      </c>
      <c r="N339" s="2">
        <v>159.1</v>
      </c>
      <c r="O339" s="2">
        <v>186.3</v>
      </c>
      <c r="P339" s="2">
        <v>179.3</v>
      </c>
      <c r="Q339" s="2">
        <v>198.3</v>
      </c>
      <c r="R339" s="2">
        <v>171.6</v>
      </c>
      <c r="S339" s="2">
        <v>157.4</v>
      </c>
      <c r="T339" s="2">
        <v>169.4</v>
      </c>
      <c r="U339" s="2" t="s">
        <v>154</v>
      </c>
      <c r="V339" s="2">
        <v>174.9</v>
      </c>
      <c r="W339" s="2">
        <v>162.1</v>
      </c>
      <c r="X339" s="2">
        <v>170.9</v>
      </c>
      <c r="Y339" s="2">
        <v>157.19999999999999</v>
      </c>
      <c r="Z339" s="2">
        <v>164.1</v>
      </c>
      <c r="AA339" s="2">
        <v>166.5</v>
      </c>
      <c r="AB339" s="2">
        <v>169.2</v>
      </c>
      <c r="AC339" s="2">
        <v>163.80000000000001</v>
      </c>
      <c r="AD339" s="2">
        <v>171.4</v>
      </c>
    </row>
    <row r="340" spans="1:30" x14ac:dyDescent="0.35">
      <c r="A340" s="2" t="s">
        <v>35</v>
      </c>
      <c r="B340" s="2">
        <v>2022</v>
      </c>
      <c r="C340" s="2" t="s">
        <v>42</v>
      </c>
      <c r="D340" s="2">
        <v>155</v>
      </c>
      <c r="E340" s="2">
        <v>219.4</v>
      </c>
      <c r="F340" s="2">
        <v>170.8</v>
      </c>
      <c r="G340" s="2">
        <v>165.8</v>
      </c>
      <c r="H340" s="2">
        <v>200.9</v>
      </c>
      <c r="I340" s="2">
        <v>169.7</v>
      </c>
      <c r="J340" s="2">
        <v>182.3</v>
      </c>
      <c r="K340" s="2">
        <v>164.3</v>
      </c>
      <c r="L340" s="2">
        <v>119.9</v>
      </c>
      <c r="M340" s="2">
        <v>187.1</v>
      </c>
      <c r="N340" s="2">
        <v>167.9</v>
      </c>
      <c r="O340" s="2">
        <v>183.9</v>
      </c>
      <c r="P340" s="2">
        <v>174.9</v>
      </c>
      <c r="Q340" s="2">
        <v>194.3</v>
      </c>
      <c r="R340" s="2">
        <v>177.1</v>
      </c>
      <c r="S340" s="2">
        <v>169.9</v>
      </c>
      <c r="T340" s="2">
        <v>176</v>
      </c>
      <c r="U340" s="2" t="s">
        <v>154</v>
      </c>
      <c r="V340" s="2">
        <v>176</v>
      </c>
      <c r="W340" s="2">
        <v>166.4</v>
      </c>
      <c r="X340" s="2">
        <v>175.4</v>
      </c>
      <c r="Y340" s="2">
        <v>161.1</v>
      </c>
      <c r="Z340" s="2">
        <v>165.8</v>
      </c>
      <c r="AA340" s="2">
        <v>169</v>
      </c>
      <c r="AB340" s="2">
        <v>169.4</v>
      </c>
      <c r="AC340" s="2">
        <v>167.5</v>
      </c>
      <c r="AD340" s="2">
        <v>172.6</v>
      </c>
    </row>
    <row r="341" spans="1:30" x14ac:dyDescent="0.35">
      <c r="A341" s="2" t="s">
        <v>30</v>
      </c>
      <c r="B341" s="2">
        <v>2022</v>
      </c>
      <c r="C341" s="2" t="s">
        <v>44</v>
      </c>
      <c r="D341" s="2">
        <v>155.19999999999999</v>
      </c>
      <c r="E341" s="2">
        <v>210.8</v>
      </c>
      <c r="F341" s="2">
        <v>174.3</v>
      </c>
      <c r="G341" s="2">
        <v>166.3</v>
      </c>
      <c r="H341" s="2">
        <v>202.2</v>
      </c>
      <c r="I341" s="2">
        <v>169.6</v>
      </c>
      <c r="J341" s="2">
        <v>168.6</v>
      </c>
      <c r="K341" s="2">
        <v>164.4</v>
      </c>
      <c r="L341" s="2">
        <v>119.2</v>
      </c>
      <c r="M341" s="2">
        <v>191.8</v>
      </c>
      <c r="N341" s="2">
        <v>174.5</v>
      </c>
      <c r="O341" s="2">
        <v>183.1</v>
      </c>
      <c r="P341" s="2">
        <v>172.5</v>
      </c>
      <c r="Q341" s="2">
        <v>193.2</v>
      </c>
      <c r="R341" s="2">
        <v>182</v>
      </c>
      <c r="S341" s="2">
        <v>180.3</v>
      </c>
      <c r="T341" s="2">
        <v>181.7</v>
      </c>
      <c r="U341" s="2" t="s">
        <v>32</v>
      </c>
      <c r="V341" s="2">
        <v>179.6</v>
      </c>
      <c r="W341" s="2">
        <v>171.3</v>
      </c>
      <c r="X341" s="2">
        <v>178.8</v>
      </c>
      <c r="Y341" s="2">
        <v>166.3</v>
      </c>
      <c r="Z341" s="2">
        <v>168.6</v>
      </c>
      <c r="AA341" s="2">
        <v>174.7</v>
      </c>
      <c r="AB341" s="2">
        <v>169.7</v>
      </c>
      <c r="AC341" s="2">
        <v>171.8</v>
      </c>
      <c r="AD341" s="2">
        <v>174.3</v>
      </c>
    </row>
    <row r="342" spans="1:30" x14ac:dyDescent="0.35">
      <c r="A342" s="2" t="s">
        <v>33</v>
      </c>
      <c r="B342" s="2">
        <v>2022</v>
      </c>
      <c r="C342" s="2" t="s">
        <v>44</v>
      </c>
      <c r="D342" s="2">
        <v>159.30000000000001</v>
      </c>
      <c r="E342" s="2">
        <v>217.1</v>
      </c>
      <c r="F342" s="2">
        <v>176.6</v>
      </c>
      <c r="G342" s="2">
        <v>167.1</v>
      </c>
      <c r="H342" s="2">
        <v>184.8</v>
      </c>
      <c r="I342" s="2">
        <v>179.5</v>
      </c>
      <c r="J342" s="2">
        <v>208.5</v>
      </c>
      <c r="K342" s="2">
        <v>164</v>
      </c>
      <c r="L342" s="2">
        <v>121.5</v>
      </c>
      <c r="M342" s="2">
        <v>186.3</v>
      </c>
      <c r="N342" s="2">
        <v>159.80000000000001</v>
      </c>
      <c r="O342" s="2">
        <v>187.7</v>
      </c>
      <c r="P342" s="2">
        <v>179.4</v>
      </c>
      <c r="Q342" s="2">
        <v>198.6</v>
      </c>
      <c r="R342" s="2">
        <v>172.7</v>
      </c>
      <c r="S342" s="2">
        <v>158.69999999999999</v>
      </c>
      <c r="T342" s="2">
        <v>170.6</v>
      </c>
      <c r="U342" s="2" t="s">
        <v>155</v>
      </c>
      <c r="V342" s="2">
        <v>179.5</v>
      </c>
      <c r="W342" s="2">
        <v>163.1</v>
      </c>
      <c r="X342" s="2">
        <v>171.7</v>
      </c>
      <c r="Y342" s="2">
        <v>157.4</v>
      </c>
      <c r="Z342" s="2">
        <v>164.6</v>
      </c>
      <c r="AA342" s="2">
        <v>169.1</v>
      </c>
      <c r="AB342" s="2">
        <v>169.8</v>
      </c>
      <c r="AC342" s="2">
        <v>164.7</v>
      </c>
      <c r="AD342" s="2">
        <v>172.3</v>
      </c>
    </row>
    <row r="343" spans="1:30" x14ac:dyDescent="0.35">
      <c r="A343" s="2" t="s">
        <v>35</v>
      </c>
      <c r="B343" s="2">
        <v>2022</v>
      </c>
      <c r="C343" s="2" t="s">
        <v>44</v>
      </c>
      <c r="D343" s="2">
        <v>156.5</v>
      </c>
      <c r="E343" s="2">
        <v>213</v>
      </c>
      <c r="F343" s="2">
        <v>175.2</v>
      </c>
      <c r="G343" s="2">
        <v>166.6</v>
      </c>
      <c r="H343" s="2">
        <v>195.8</v>
      </c>
      <c r="I343" s="2">
        <v>174.2</v>
      </c>
      <c r="J343" s="2">
        <v>182.1</v>
      </c>
      <c r="K343" s="2">
        <v>164.3</v>
      </c>
      <c r="L343" s="2">
        <v>120</v>
      </c>
      <c r="M343" s="2">
        <v>190</v>
      </c>
      <c r="N343" s="2">
        <v>168.4</v>
      </c>
      <c r="O343" s="2">
        <v>185.2</v>
      </c>
      <c r="P343" s="2">
        <v>175</v>
      </c>
      <c r="Q343" s="2">
        <v>194.6</v>
      </c>
      <c r="R343" s="2">
        <v>178.3</v>
      </c>
      <c r="S343" s="2">
        <v>171.3</v>
      </c>
      <c r="T343" s="2">
        <v>177.3</v>
      </c>
      <c r="U343" s="2" t="s">
        <v>155</v>
      </c>
      <c r="V343" s="2">
        <v>179.6</v>
      </c>
      <c r="W343" s="2">
        <v>167.4</v>
      </c>
      <c r="X343" s="2">
        <v>176.1</v>
      </c>
      <c r="Y343" s="2">
        <v>161.6</v>
      </c>
      <c r="Z343" s="2">
        <v>166.3</v>
      </c>
      <c r="AA343" s="2">
        <v>171.4</v>
      </c>
      <c r="AB343" s="2">
        <v>169.7</v>
      </c>
      <c r="AC343" s="2">
        <v>168.4</v>
      </c>
      <c r="AD343" s="2">
        <v>173.4</v>
      </c>
    </row>
    <row r="344" spans="1:30" x14ac:dyDescent="0.35">
      <c r="A344" s="2" t="s">
        <v>30</v>
      </c>
      <c r="B344" s="2">
        <v>2022</v>
      </c>
      <c r="C344" s="2" t="s">
        <v>46</v>
      </c>
      <c r="D344" s="2">
        <v>159.5</v>
      </c>
      <c r="E344" s="2">
        <v>204.1</v>
      </c>
      <c r="F344" s="2">
        <v>168.3</v>
      </c>
      <c r="G344" s="2">
        <v>167.9</v>
      </c>
      <c r="H344" s="2">
        <v>198.1</v>
      </c>
      <c r="I344" s="2">
        <v>169.2</v>
      </c>
      <c r="J344" s="2">
        <v>173.1</v>
      </c>
      <c r="K344" s="2">
        <v>167.1</v>
      </c>
      <c r="L344" s="2">
        <v>120.2</v>
      </c>
      <c r="M344" s="2">
        <v>195.6</v>
      </c>
      <c r="N344" s="2">
        <v>174.8</v>
      </c>
      <c r="O344" s="2">
        <v>184</v>
      </c>
      <c r="P344" s="2">
        <v>173.9</v>
      </c>
      <c r="Q344" s="2">
        <v>193.7</v>
      </c>
      <c r="R344" s="2">
        <v>183.2</v>
      </c>
      <c r="S344" s="2">
        <v>181.7</v>
      </c>
      <c r="T344" s="2">
        <v>183</v>
      </c>
      <c r="U344" s="2" t="s">
        <v>32</v>
      </c>
      <c r="V344" s="2">
        <v>179.1</v>
      </c>
      <c r="W344" s="2">
        <v>172.3</v>
      </c>
      <c r="X344" s="2">
        <v>179.4</v>
      </c>
      <c r="Y344" s="2">
        <v>166.6</v>
      </c>
      <c r="Z344" s="2">
        <v>169.3</v>
      </c>
      <c r="AA344" s="2">
        <v>175.7</v>
      </c>
      <c r="AB344" s="2">
        <v>171.1</v>
      </c>
      <c r="AC344" s="2">
        <v>172.6</v>
      </c>
      <c r="AD344" s="2">
        <v>175.3</v>
      </c>
    </row>
    <row r="345" spans="1:30" x14ac:dyDescent="0.35">
      <c r="A345" s="2" t="s">
        <v>33</v>
      </c>
      <c r="B345" s="2">
        <v>2022</v>
      </c>
      <c r="C345" s="2" t="s">
        <v>46</v>
      </c>
      <c r="D345" s="2">
        <v>162.1</v>
      </c>
      <c r="E345" s="2">
        <v>210.9</v>
      </c>
      <c r="F345" s="2">
        <v>170.6</v>
      </c>
      <c r="G345" s="2">
        <v>168.4</v>
      </c>
      <c r="H345" s="2">
        <v>182.5</v>
      </c>
      <c r="I345" s="2">
        <v>177.1</v>
      </c>
      <c r="J345" s="2">
        <v>213.1</v>
      </c>
      <c r="K345" s="2">
        <v>167.3</v>
      </c>
      <c r="L345" s="2">
        <v>122.2</v>
      </c>
      <c r="M345" s="2">
        <v>189.7</v>
      </c>
      <c r="N345" s="2">
        <v>160.5</v>
      </c>
      <c r="O345" s="2">
        <v>188.9</v>
      </c>
      <c r="P345" s="2">
        <v>180.4</v>
      </c>
      <c r="Q345" s="2">
        <v>198.7</v>
      </c>
      <c r="R345" s="2">
        <v>173.7</v>
      </c>
      <c r="S345" s="2">
        <v>160</v>
      </c>
      <c r="T345" s="2">
        <v>171.6</v>
      </c>
      <c r="U345" s="2" t="s">
        <v>156</v>
      </c>
      <c r="V345" s="2">
        <v>178.4</v>
      </c>
      <c r="W345" s="2">
        <v>164.2</v>
      </c>
      <c r="X345" s="2">
        <v>172.6</v>
      </c>
      <c r="Y345" s="2">
        <v>157.69999999999999</v>
      </c>
      <c r="Z345" s="2">
        <v>165.1</v>
      </c>
      <c r="AA345" s="2">
        <v>169.9</v>
      </c>
      <c r="AB345" s="2">
        <v>171.4</v>
      </c>
      <c r="AC345" s="2">
        <v>165.4</v>
      </c>
      <c r="AD345" s="2">
        <v>173.1</v>
      </c>
    </row>
    <row r="346" spans="1:30" x14ac:dyDescent="0.35">
      <c r="A346" s="2" t="s">
        <v>35</v>
      </c>
      <c r="B346" s="2">
        <v>2022</v>
      </c>
      <c r="C346" s="2" t="s">
        <v>46</v>
      </c>
      <c r="D346" s="2">
        <v>160.30000000000001</v>
      </c>
      <c r="E346" s="2">
        <v>206.5</v>
      </c>
      <c r="F346" s="2">
        <v>169.2</v>
      </c>
      <c r="G346" s="2">
        <v>168.1</v>
      </c>
      <c r="H346" s="2">
        <v>192.4</v>
      </c>
      <c r="I346" s="2">
        <v>172.9</v>
      </c>
      <c r="J346" s="2">
        <v>186.7</v>
      </c>
      <c r="K346" s="2">
        <v>167.2</v>
      </c>
      <c r="L346" s="2">
        <v>120.9</v>
      </c>
      <c r="M346" s="2">
        <v>193.6</v>
      </c>
      <c r="N346" s="2">
        <v>168.8</v>
      </c>
      <c r="O346" s="2">
        <v>186.3</v>
      </c>
      <c r="P346" s="2">
        <v>176.3</v>
      </c>
      <c r="Q346" s="2">
        <v>195</v>
      </c>
      <c r="R346" s="2">
        <v>179.5</v>
      </c>
      <c r="S346" s="2">
        <v>172.7</v>
      </c>
      <c r="T346" s="2">
        <v>178.5</v>
      </c>
      <c r="U346" s="2" t="s">
        <v>156</v>
      </c>
      <c r="V346" s="2">
        <v>178.8</v>
      </c>
      <c r="W346" s="2">
        <v>168.5</v>
      </c>
      <c r="X346" s="2">
        <v>176.8</v>
      </c>
      <c r="Y346" s="2">
        <v>161.9</v>
      </c>
      <c r="Z346" s="2">
        <v>166.9</v>
      </c>
      <c r="AA346" s="2">
        <v>172.3</v>
      </c>
      <c r="AB346" s="2">
        <v>171.2</v>
      </c>
      <c r="AC346" s="2">
        <v>169.1</v>
      </c>
      <c r="AD346" s="2">
        <v>174.3</v>
      </c>
    </row>
    <row r="347" spans="1:30" x14ac:dyDescent="0.35">
      <c r="A347" s="2" t="s">
        <v>30</v>
      </c>
      <c r="B347" s="2">
        <v>2022</v>
      </c>
      <c r="C347" s="2" t="s">
        <v>48</v>
      </c>
      <c r="D347" s="2">
        <v>162.9</v>
      </c>
      <c r="E347" s="2">
        <v>206.7</v>
      </c>
      <c r="F347" s="2">
        <v>169</v>
      </c>
      <c r="G347" s="2">
        <v>169.5</v>
      </c>
      <c r="H347" s="2">
        <v>194.1</v>
      </c>
      <c r="I347" s="2">
        <v>164.1</v>
      </c>
      <c r="J347" s="2">
        <v>176.9</v>
      </c>
      <c r="K347" s="2">
        <v>169</v>
      </c>
      <c r="L347" s="2">
        <v>120.8</v>
      </c>
      <c r="M347" s="2">
        <v>199.1</v>
      </c>
      <c r="N347" s="2">
        <v>175.4</v>
      </c>
      <c r="O347" s="2">
        <v>184.8</v>
      </c>
      <c r="P347" s="2">
        <v>175.5</v>
      </c>
      <c r="Q347" s="2">
        <v>194.5</v>
      </c>
      <c r="R347" s="2">
        <v>184.7</v>
      </c>
      <c r="S347" s="2">
        <v>183.3</v>
      </c>
      <c r="T347" s="2">
        <v>184.5</v>
      </c>
      <c r="U347" s="2" t="s">
        <v>32</v>
      </c>
      <c r="V347" s="2">
        <v>179.7</v>
      </c>
      <c r="W347" s="2">
        <v>173.6</v>
      </c>
      <c r="X347" s="2">
        <v>180.2</v>
      </c>
      <c r="Y347" s="2">
        <v>166.9</v>
      </c>
      <c r="Z347" s="2">
        <v>170</v>
      </c>
      <c r="AA347" s="2">
        <v>176.2</v>
      </c>
      <c r="AB347" s="2">
        <v>170.8</v>
      </c>
      <c r="AC347" s="2">
        <v>173.1</v>
      </c>
      <c r="AD347" s="2">
        <v>176.4</v>
      </c>
    </row>
    <row r="348" spans="1:30" x14ac:dyDescent="0.35">
      <c r="A348" s="2" t="s">
        <v>33</v>
      </c>
      <c r="B348" s="2">
        <v>2022</v>
      </c>
      <c r="C348" s="2" t="s">
        <v>48</v>
      </c>
      <c r="D348" s="2">
        <v>164.9</v>
      </c>
      <c r="E348" s="2">
        <v>213.7</v>
      </c>
      <c r="F348" s="2">
        <v>170.9</v>
      </c>
      <c r="G348" s="2">
        <v>170.1</v>
      </c>
      <c r="H348" s="2">
        <v>179.3</v>
      </c>
      <c r="I348" s="2">
        <v>167.5</v>
      </c>
      <c r="J348" s="2">
        <v>220.8</v>
      </c>
      <c r="K348" s="2">
        <v>169.2</v>
      </c>
      <c r="L348" s="2">
        <v>123.1</v>
      </c>
      <c r="M348" s="2">
        <v>193.6</v>
      </c>
      <c r="N348" s="2">
        <v>161.1</v>
      </c>
      <c r="O348" s="2">
        <v>190.4</v>
      </c>
      <c r="P348" s="2">
        <v>181.8</v>
      </c>
      <c r="Q348" s="2">
        <v>199.7</v>
      </c>
      <c r="R348" s="2">
        <v>175</v>
      </c>
      <c r="S348" s="2">
        <v>161.69999999999999</v>
      </c>
      <c r="T348" s="2">
        <v>173</v>
      </c>
      <c r="U348" s="2" t="s">
        <v>157</v>
      </c>
      <c r="V348" s="2">
        <v>179.2</v>
      </c>
      <c r="W348" s="2">
        <v>165</v>
      </c>
      <c r="X348" s="2">
        <v>173.8</v>
      </c>
      <c r="Y348" s="2">
        <v>158.19999999999999</v>
      </c>
      <c r="Z348" s="2">
        <v>165.8</v>
      </c>
      <c r="AA348" s="2">
        <v>170.9</v>
      </c>
      <c r="AB348" s="2">
        <v>171.1</v>
      </c>
      <c r="AC348" s="2">
        <v>166.1</v>
      </c>
      <c r="AD348" s="2">
        <v>174.1</v>
      </c>
    </row>
    <row r="349" spans="1:30" x14ac:dyDescent="0.35">
      <c r="A349" s="2" t="s">
        <v>35</v>
      </c>
      <c r="B349" s="2">
        <v>2022</v>
      </c>
      <c r="C349" s="2" t="s">
        <v>48</v>
      </c>
      <c r="D349" s="2">
        <v>163.5</v>
      </c>
      <c r="E349" s="2">
        <v>209.2</v>
      </c>
      <c r="F349" s="2">
        <v>169.7</v>
      </c>
      <c r="G349" s="2">
        <v>169.7</v>
      </c>
      <c r="H349" s="2">
        <v>188.7</v>
      </c>
      <c r="I349" s="2">
        <v>165.7</v>
      </c>
      <c r="J349" s="2">
        <v>191.8</v>
      </c>
      <c r="K349" s="2">
        <v>169.1</v>
      </c>
      <c r="L349" s="2">
        <v>121.6</v>
      </c>
      <c r="M349" s="2">
        <v>197.3</v>
      </c>
      <c r="N349" s="2">
        <v>169.4</v>
      </c>
      <c r="O349" s="2">
        <v>187.4</v>
      </c>
      <c r="P349" s="2">
        <v>177.8</v>
      </c>
      <c r="Q349" s="2">
        <v>195.9</v>
      </c>
      <c r="R349" s="2">
        <v>180.9</v>
      </c>
      <c r="S349" s="2">
        <v>174.3</v>
      </c>
      <c r="T349" s="2">
        <v>179.9</v>
      </c>
      <c r="U349" s="2" t="s">
        <v>157</v>
      </c>
      <c r="V349" s="2">
        <v>179.5</v>
      </c>
      <c r="W349" s="2">
        <v>169.5</v>
      </c>
      <c r="X349" s="2">
        <v>177.8</v>
      </c>
      <c r="Y349" s="2">
        <v>162.30000000000001</v>
      </c>
      <c r="Z349" s="2">
        <v>167.6</v>
      </c>
      <c r="AA349" s="2">
        <v>173.1</v>
      </c>
      <c r="AB349" s="2">
        <v>170.9</v>
      </c>
      <c r="AC349" s="2">
        <v>169.7</v>
      </c>
      <c r="AD349" s="2">
        <v>175.3</v>
      </c>
    </row>
    <row r="350" spans="1:30" x14ac:dyDescent="0.35">
      <c r="A350" s="2" t="s">
        <v>30</v>
      </c>
      <c r="B350" s="2">
        <v>2022</v>
      </c>
      <c r="C350" s="2" t="s">
        <v>50</v>
      </c>
      <c r="D350" s="2">
        <v>164.7</v>
      </c>
      <c r="E350" s="2">
        <v>208.8</v>
      </c>
      <c r="F350" s="2">
        <v>170.3</v>
      </c>
      <c r="G350" s="2">
        <v>170.9</v>
      </c>
      <c r="H350" s="2">
        <v>191.6</v>
      </c>
      <c r="I350" s="2">
        <v>162.19999999999999</v>
      </c>
      <c r="J350" s="2">
        <v>184.8</v>
      </c>
      <c r="K350" s="2">
        <v>169.7</v>
      </c>
      <c r="L350" s="2">
        <v>121.1</v>
      </c>
      <c r="M350" s="2">
        <v>201.6</v>
      </c>
      <c r="N350" s="2">
        <v>175.8</v>
      </c>
      <c r="O350" s="2">
        <v>185.6</v>
      </c>
      <c r="P350" s="2">
        <v>177.4</v>
      </c>
      <c r="Q350" s="2">
        <v>194.9</v>
      </c>
      <c r="R350" s="2">
        <v>186.1</v>
      </c>
      <c r="S350" s="2">
        <v>184.4</v>
      </c>
      <c r="T350" s="2">
        <v>185.9</v>
      </c>
      <c r="U350" s="2" t="s">
        <v>32</v>
      </c>
      <c r="V350" s="2">
        <v>180.8</v>
      </c>
      <c r="W350" s="2">
        <v>174.4</v>
      </c>
      <c r="X350" s="2">
        <v>181.2</v>
      </c>
      <c r="Y350" s="2">
        <v>167.4</v>
      </c>
      <c r="Z350" s="2">
        <v>170.6</v>
      </c>
      <c r="AA350" s="2">
        <v>176.5</v>
      </c>
      <c r="AB350" s="2">
        <v>172</v>
      </c>
      <c r="AC350" s="2">
        <v>173.9</v>
      </c>
      <c r="AD350" s="2">
        <v>177.9</v>
      </c>
    </row>
    <row r="351" spans="1:30" x14ac:dyDescent="0.35">
      <c r="A351" s="2" t="s">
        <v>33</v>
      </c>
      <c r="B351" s="2">
        <v>2022</v>
      </c>
      <c r="C351" s="2" t="s">
        <v>50</v>
      </c>
      <c r="D351" s="2">
        <v>166.4</v>
      </c>
      <c r="E351" s="2">
        <v>214.9</v>
      </c>
      <c r="F351" s="2">
        <v>171.9</v>
      </c>
      <c r="G351" s="2">
        <v>171</v>
      </c>
      <c r="H351" s="2">
        <v>177.7</v>
      </c>
      <c r="I351" s="2">
        <v>165.7</v>
      </c>
      <c r="J351" s="2">
        <v>228.6</v>
      </c>
      <c r="K351" s="2">
        <v>169.9</v>
      </c>
      <c r="L351" s="2">
        <v>123.4</v>
      </c>
      <c r="M351" s="2">
        <v>196.4</v>
      </c>
      <c r="N351" s="2">
        <v>161.6</v>
      </c>
      <c r="O351" s="2">
        <v>191.5</v>
      </c>
      <c r="P351" s="2">
        <v>183.3</v>
      </c>
      <c r="Q351" s="2">
        <v>200.1</v>
      </c>
      <c r="R351" s="2">
        <v>175.5</v>
      </c>
      <c r="S351" s="2">
        <v>162.6</v>
      </c>
      <c r="T351" s="2">
        <v>173.6</v>
      </c>
      <c r="U351" s="2" t="s">
        <v>158</v>
      </c>
      <c r="V351" s="2">
        <v>180</v>
      </c>
      <c r="W351" s="2">
        <v>166</v>
      </c>
      <c r="X351" s="2">
        <v>174.7</v>
      </c>
      <c r="Y351" s="2">
        <v>158.80000000000001</v>
      </c>
      <c r="Z351" s="2">
        <v>166.3</v>
      </c>
      <c r="AA351" s="2">
        <v>171.2</v>
      </c>
      <c r="AB351" s="2">
        <v>172.3</v>
      </c>
      <c r="AC351" s="2">
        <v>166.8</v>
      </c>
      <c r="AD351" s="2">
        <v>175.3</v>
      </c>
    </row>
    <row r="352" spans="1:30" x14ac:dyDescent="0.35">
      <c r="A352" s="2" t="s">
        <v>35</v>
      </c>
      <c r="B352" s="2">
        <v>2022</v>
      </c>
      <c r="C352" s="2" t="s">
        <v>50</v>
      </c>
      <c r="D352" s="2">
        <v>165.2</v>
      </c>
      <c r="E352" s="2">
        <v>210.9</v>
      </c>
      <c r="F352" s="2">
        <v>170.9</v>
      </c>
      <c r="G352" s="2">
        <v>170.9</v>
      </c>
      <c r="H352" s="2">
        <v>186.5</v>
      </c>
      <c r="I352" s="2">
        <v>163.80000000000001</v>
      </c>
      <c r="J352" s="2">
        <v>199.7</v>
      </c>
      <c r="K352" s="2">
        <v>169.8</v>
      </c>
      <c r="L352" s="2">
        <v>121.9</v>
      </c>
      <c r="M352" s="2">
        <v>199.9</v>
      </c>
      <c r="N352" s="2">
        <v>169.9</v>
      </c>
      <c r="O352" s="2">
        <v>188.3</v>
      </c>
      <c r="P352" s="2">
        <v>179.6</v>
      </c>
      <c r="Q352" s="2">
        <v>196.3</v>
      </c>
      <c r="R352" s="2">
        <v>181.9</v>
      </c>
      <c r="S352" s="2">
        <v>175.3</v>
      </c>
      <c r="T352" s="2">
        <v>181</v>
      </c>
      <c r="U352" s="2" t="s">
        <v>158</v>
      </c>
      <c r="V352" s="2">
        <v>180.5</v>
      </c>
      <c r="W352" s="2">
        <v>170.4</v>
      </c>
      <c r="X352" s="2">
        <v>178.7</v>
      </c>
      <c r="Y352" s="2">
        <v>162.9</v>
      </c>
      <c r="Z352" s="2">
        <v>168.2</v>
      </c>
      <c r="AA352" s="2">
        <v>173.4</v>
      </c>
      <c r="AB352" s="2">
        <v>172.1</v>
      </c>
      <c r="AC352" s="2">
        <v>170.5</v>
      </c>
      <c r="AD352" s="2">
        <v>176.7</v>
      </c>
    </row>
    <row r="353" spans="1:30" x14ac:dyDescent="0.35">
      <c r="A353" s="2" t="s">
        <v>30</v>
      </c>
      <c r="B353" s="2">
        <v>2022</v>
      </c>
      <c r="C353" s="2" t="s">
        <v>53</v>
      </c>
      <c r="D353" s="2">
        <v>166.9</v>
      </c>
      <c r="E353" s="2">
        <v>207.2</v>
      </c>
      <c r="F353" s="2">
        <v>180.2</v>
      </c>
      <c r="G353" s="2">
        <v>172.3</v>
      </c>
      <c r="H353" s="2">
        <v>194</v>
      </c>
      <c r="I353" s="2">
        <v>159.1</v>
      </c>
      <c r="J353" s="2">
        <v>171.6</v>
      </c>
      <c r="K353" s="2">
        <v>170.2</v>
      </c>
      <c r="L353" s="2">
        <v>121.5</v>
      </c>
      <c r="M353" s="2">
        <v>204.8</v>
      </c>
      <c r="N353" s="2">
        <v>176.4</v>
      </c>
      <c r="O353" s="2">
        <v>186.9</v>
      </c>
      <c r="P353" s="2">
        <v>176.6</v>
      </c>
      <c r="Q353" s="2">
        <v>195.5</v>
      </c>
      <c r="R353" s="2">
        <v>187.2</v>
      </c>
      <c r="S353" s="2">
        <v>185.2</v>
      </c>
      <c r="T353" s="2">
        <v>186.9</v>
      </c>
      <c r="U353" s="2" t="s">
        <v>32</v>
      </c>
      <c r="V353" s="2">
        <v>181.9</v>
      </c>
      <c r="W353" s="2">
        <v>175.5</v>
      </c>
      <c r="X353" s="2">
        <v>182.3</v>
      </c>
      <c r="Y353" s="2">
        <v>167.5</v>
      </c>
      <c r="Z353" s="2">
        <v>170.8</v>
      </c>
      <c r="AA353" s="2">
        <v>176.9</v>
      </c>
      <c r="AB353" s="2">
        <v>173.4</v>
      </c>
      <c r="AC353" s="2">
        <v>174.6</v>
      </c>
      <c r="AD353" s="2">
        <v>177.8</v>
      </c>
    </row>
    <row r="354" spans="1:30" x14ac:dyDescent="0.35">
      <c r="A354" s="2" t="s">
        <v>33</v>
      </c>
      <c r="B354" s="2">
        <v>2022</v>
      </c>
      <c r="C354" s="2" t="s">
        <v>53</v>
      </c>
      <c r="D354" s="2">
        <v>168.4</v>
      </c>
      <c r="E354" s="2">
        <v>213.4</v>
      </c>
      <c r="F354" s="2">
        <v>183.2</v>
      </c>
      <c r="G354" s="2">
        <v>172.3</v>
      </c>
      <c r="H354" s="2">
        <v>180</v>
      </c>
      <c r="I354" s="2">
        <v>162.6</v>
      </c>
      <c r="J354" s="2">
        <v>205.5</v>
      </c>
      <c r="K354" s="2">
        <v>171</v>
      </c>
      <c r="L354" s="2">
        <v>123.4</v>
      </c>
      <c r="M354" s="2">
        <v>198.8</v>
      </c>
      <c r="N354" s="2">
        <v>162.1</v>
      </c>
      <c r="O354" s="2">
        <v>192.4</v>
      </c>
      <c r="P354" s="2">
        <v>181.3</v>
      </c>
      <c r="Q354" s="2">
        <v>200.6</v>
      </c>
      <c r="R354" s="2">
        <v>176.7</v>
      </c>
      <c r="S354" s="2">
        <v>163.5</v>
      </c>
      <c r="T354" s="2">
        <v>174.7</v>
      </c>
      <c r="U354" s="2" t="s">
        <v>159</v>
      </c>
      <c r="V354" s="2">
        <v>180.3</v>
      </c>
      <c r="W354" s="2">
        <v>166.9</v>
      </c>
      <c r="X354" s="2">
        <v>175.8</v>
      </c>
      <c r="Y354" s="2">
        <v>158.9</v>
      </c>
      <c r="Z354" s="2">
        <v>166.7</v>
      </c>
      <c r="AA354" s="2">
        <v>171.5</v>
      </c>
      <c r="AB354" s="2">
        <v>173.8</v>
      </c>
      <c r="AC354" s="2">
        <v>167.4</v>
      </c>
      <c r="AD354" s="2">
        <v>174.1</v>
      </c>
    </row>
    <row r="355" spans="1:30" x14ac:dyDescent="0.35">
      <c r="A355" s="2" t="s">
        <v>35</v>
      </c>
      <c r="B355" s="2">
        <v>2022</v>
      </c>
      <c r="C355" s="2" t="s">
        <v>53</v>
      </c>
      <c r="D355" s="2">
        <v>167.4</v>
      </c>
      <c r="E355" s="2">
        <v>209.4</v>
      </c>
      <c r="F355" s="2">
        <v>181.4</v>
      </c>
      <c r="G355" s="2">
        <v>172.3</v>
      </c>
      <c r="H355" s="2">
        <v>188.9</v>
      </c>
      <c r="I355" s="2">
        <v>160.69999999999999</v>
      </c>
      <c r="J355" s="2">
        <v>183.1</v>
      </c>
      <c r="K355" s="2">
        <v>170.5</v>
      </c>
      <c r="L355" s="2">
        <v>122.1</v>
      </c>
      <c r="M355" s="2">
        <v>202.8</v>
      </c>
      <c r="N355" s="2">
        <v>170.4</v>
      </c>
      <c r="O355" s="2">
        <v>189.5</v>
      </c>
      <c r="P355" s="2">
        <v>178.3</v>
      </c>
      <c r="Q355" s="2">
        <v>196.9</v>
      </c>
      <c r="R355" s="2">
        <v>183.1</v>
      </c>
      <c r="S355" s="2">
        <v>176.2</v>
      </c>
      <c r="T355" s="2">
        <v>182.1</v>
      </c>
      <c r="U355" s="2" t="s">
        <v>159</v>
      </c>
      <c r="V355" s="2">
        <v>181.3</v>
      </c>
      <c r="W355" s="2">
        <v>171.4</v>
      </c>
      <c r="X355" s="2">
        <v>179.8</v>
      </c>
      <c r="Y355" s="2">
        <v>163</v>
      </c>
      <c r="Z355" s="2">
        <v>168.5</v>
      </c>
      <c r="AA355" s="2">
        <v>173.7</v>
      </c>
      <c r="AB355" s="2">
        <v>173.6</v>
      </c>
      <c r="AC355" s="2">
        <v>171.1</v>
      </c>
      <c r="AD355" s="2">
        <v>176.5</v>
      </c>
    </row>
    <row r="356" spans="1:30" x14ac:dyDescent="0.35">
      <c r="A356" s="2" t="s">
        <v>30</v>
      </c>
      <c r="B356" s="2">
        <v>2022</v>
      </c>
      <c r="C356" s="2" t="s">
        <v>55</v>
      </c>
      <c r="D356" s="2">
        <v>168.8</v>
      </c>
      <c r="E356" s="2">
        <v>206.9</v>
      </c>
      <c r="F356" s="2">
        <v>189.1</v>
      </c>
      <c r="G356" s="2">
        <v>173.4</v>
      </c>
      <c r="H356" s="2">
        <v>193.9</v>
      </c>
      <c r="I356" s="2">
        <v>156.69999999999999</v>
      </c>
      <c r="J356" s="2">
        <v>150.19999999999999</v>
      </c>
      <c r="K356" s="2">
        <v>170.5</v>
      </c>
      <c r="L356" s="2">
        <v>121.2</v>
      </c>
      <c r="M356" s="2">
        <v>207.5</v>
      </c>
      <c r="N356" s="2">
        <v>176.8</v>
      </c>
      <c r="O356" s="2">
        <v>187.7</v>
      </c>
      <c r="P356" s="2">
        <v>174.4</v>
      </c>
      <c r="Q356" s="2">
        <v>195.9</v>
      </c>
      <c r="R356" s="2">
        <v>188.1</v>
      </c>
      <c r="S356" s="2">
        <v>185.9</v>
      </c>
      <c r="T356" s="2">
        <v>187.8</v>
      </c>
      <c r="U356" s="2" t="s">
        <v>32</v>
      </c>
      <c r="V356" s="2">
        <v>182.8</v>
      </c>
      <c r="W356" s="2">
        <v>176.4</v>
      </c>
      <c r="X356" s="2">
        <v>183.5</v>
      </c>
      <c r="Y356" s="2">
        <v>167.8</v>
      </c>
      <c r="Z356" s="2">
        <v>171.2</v>
      </c>
      <c r="AA356" s="2">
        <v>177.3</v>
      </c>
      <c r="AB356" s="2">
        <v>175.7</v>
      </c>
      <c r="AC356" s="2">
        <v>175.5</v>
      </c>
      <c r="AD356" s="2">
        <v>177.1</v>
      </c>
    </row>
    <row r="357" spans="1:30" x14ac:dyDescent="0.35">
      <c r="A357" s="2" t="s">
        <v>33</v>
      </c>
      <c r="B357" s="2">
        <v>2022</v>
      </c>
      <c r="C357" s="2" t="s">
        <v>55</v>
      </c>
      <c r="D357" s="2">
        <v>170.2</v>
      </c>
      <c r="E357" s="2">
        <v>212.9</v>
      </c>
      <c r="F357" s="2">
        <v>191.9</v>
      </c>
      <c r="G357" s="2">
        <v>173.9</v>
      </c>
      <c r="H357" s="2">
        <v>179.1</v>
      </c>
      <c r="I357" s="2">
        <v>159.5</v>
      </c>
      <c r="J357" s="2">
        <v>178.7</v>
      </c>
      <c r="K357" s="2">
        <v>171.3</v>
      </c>
      <c r="L357" s="2">
        <v>123.1</v>
      </c>
      <c r="M357" s="2">
        <v>200.5</v>
      </c>
      <c r="N357" s="2">
        <v>162.80000000000001</v>
      </c>
      <c r="O357" s="2">
        <v>193.3</v>
      </c>
      <c r="P357" s="2">
        <v>178.6</v>
      </c>
      <c r="Q357" s="2">
        <v>201.1</v>
      </c>
      <c r="R357" s="2">
        <v>177.7</v>
      </c>
      <c r="S357" s="2">
        <v>164.5</v>
      </c>
      <c r="T357" s="2">
        <v>175.7</v>
      </c>
      <c r="U357" s="2" t="s">
        <v>160</v>
      </c>
      <c r="V357" s="2">
        <v>180.6</v>
      </c>
      <c r="W357" s="2">
        <v>167.3</v>
      </c>
      <c r="X357" s="2">
        <v>177.2</v>
      </c>
      <c r="Y357" s="2">
        <v>159.4</v>
      </c>
      <c r="Z357" s="2">
        <v>167.1</v>
      </c>
      <c r="AA357" s="2">
        <v>171.8</v>
      </c>
      <c r="AB357" s="2">
        <v>176</v>
      </c>
      <c r="AC357" s="2">
        <v>168.2</v>
      </c>
      <c r="AD357" s="2">
        <v>174.1</v>
      </c>
    </row>
    <row r="358" spans="1:30" x14ac:dyDescent="0.35">
      <c r="A358" s="2" t="s">
        <v>35</v>
      </c>
      <c r="B358" s="2">
        <v>2022</v>
      </c>
      <c r="C358" s="2" t="s">
        <v>55</v>
      </c>
      <c r="D358" s="2">
        <v>169.2</v>
      </c>
      <c r="E358" s="2">
        <v>209</v>
      </c>
      <c r="F358" s="2">
        <v>190.2</v>
      </c>
      <c r="G358" s="2">
        <v>173.6</v>
      </c>
      <c r="H358" s="2">
        <v>188.5</v>
      </c>
      <c r="I358" s="2">
        <v>158</v>
      </c>
      <c r="J358" s="2">
        <v>159.9</v>
      </c>
      <c r="K358" s="2">
        <v>170.8</v>
      </c>
      <c r="L358" s="2">
        <v>121.8</v>
      </c>
      <c r="M358" s="2">
        <v>205.2</v>
      </c>
      <c r="N358" s="2">
        <v>171</v>
      </c>
      <c r="O358" s="2">
        <v>190.3</v>
      </c>
      <c r="P358" s="2">
        <v>175.9</v>
      </c>
      <c r="Q358" s="2">
        <v>197.3</v>
      </c>
      <c r="R358" s="2">
        <v>184</v>
      </c>
      <c r="S358" s="2">
        <v>177</v>
      </c>
      <c r="T358" s="2">
        <v>183</v>
      </c>
      <c r="U358" s="2" t="s">
        <v>160</v>
      </c>
      <c r="V358" s="2">
        <v>182</v>
      </c>
      <c r="W358" s="2">
        <v>172.1</v>
      </c>
      <c r="X358" s="2">
        <v>181.1</v>
      </c>
      <c r="Y358" s="2">
        <v>163.4</v>
      </c>
      <c r="Z358" s="2">
        <v>168.9</v>
      </c>
      <c r="AA358" s="2">
        <v>174.1</v>
      </c>
      <c r="AB358" s="2">
        <v>175.8</v>
      </c>
      <c r="AC358" s="2">
        <v>172</v>
      </c>
      <c r="AD358" s="2">
        <v>175.7</v>
      </c>
    </row>
    <row r="359" spans="1:30" x14ac:dyDescent="0.35">
      <c r="A359" s="2" t="s">
        <v>30</v>
      </c>
      <c r="B359" s="2">
        <v>2023</v>
      </c>
      <c r="C359" s="2" t="s">
        <v>31</v>
      </c>
      <c r="D359" s="2">
        <v>174</v>
      </c>
      <c r="E359" s="2">
        <v>208.3</v>
      </c>
      <c r="F359" s="2">
        <v>192.9</v>
      </c>
      <c r="G359" s="2">
        <v>174.3</v>
      </c>
      <c r="H359" s="2">
        <v>192.6</v>
      </c>
      <c r="I359" s="2">
        <v>156.30000000000001</v>
      </c>
      <c r="J359" s="2">
        <v>142.9</v>
      </c>
      <c r="K359" s="2">
        <v>170.7</v>
      </c>
      <c r="L359" s="2">
        <v>120.3</v>
      </c>
      <c r="M359" s="2">
        <v>210.5</v>
      </c>
      <c r="N359" s="2">
        <v>176.9</v>
      </c>
      <c r="O359" s="2">
        <v>188.5</v>
      </c>
      <c r="P359" s="2">
        <v>175</v>
      </c>
      <c r="Q359" s="2">
        <v>196.9</v>
      </c>
      <c r="R359" s="2">
        <v>189</v>
      </c>
      <c r="S359" s="2">
        <v>186.3</v>
      </c>
      <c r="T359" s="2">
        <v>188.6</v>
      </c>
      <c r="U359" s="2" t="s">
        <v>32</v>
      </c>
      <c r="V359" s="2">
        <v>183.2</v>
      </c>
      <c r="W359" s="2">
        <v>177.2</v>
      </c>
      <c r="X359" s="2">
        <v>184.7</v>
      </c>
      <c r="Y359" s="2">
        <v>168.2</v>
      </c>
      <c r="Z359" s="2">
        <v>171.8</v>
      </c>
      <c r="AA359" s="2">
        <v>177.8</v>
      </c>
      <c r="AB359" s="2">
        <v>178.4</v>
      </c>
      <c r="AC359" s="2">
        <v>176.5</v>
      </c>
      <c r="AD359" s="2">
        <v>177.8</v>
      </c>
    </row>
    <row r="360" spans="1:30" x14ac:dyDescent="0.35">
      <c r="A360" s="2" t="s">
        <v>33</v>
      </c>
      <c r="B360" s="2">
        <v>2023</v>
      </c>
      <c r="C360" s="2" t="s">
        <v>31</v>
      </c>
      <c r="D360" s="2">
        <v>173.3</v>
      </c>
      <c r="E360" s="2">
        <v>215.2</v>
      </c>
      <c r="F360" s="2">
        <v>197</v>
      </c>
      <c r="G360" s="2">
        <v>175.2</v>
      </c>
      <c r="H360" s="2">
        <v>178</v>
      </c>
      <c r="I360" s="2">
        <v>160.5</v>
      </c>
      <c r="J360" s="2">
        <v>175.3</v>
      </c>
      <c r="K360" s="2">
        <v>171.2</v>
      </c>
      <c r="L360" s="2">
        <v>122.7</v>
      </c>
      <c r="M360" s="2">
        <v>204.3</v>
      </c>
      <c r="N360" s="2">
        <v>163.69999999999999</v>
      </c>
      <c r="O360" s="2">
        <v>194.3</v>
      </c>
      <c r="P360" s="2">
        <v>179.5</v>
      </c>
      <c r="Q360" s="2">
        <v>201.6</v>
      </c>
      <c r="R360" s="2">
        <v>178.7</v>
      </c>
      <c r="S360" s="2">
        <v>165.3</v>
      </c>
      <c r="T360" s="2">
        <v>176.6</v>
      </c>
      <c r="U360" s="2" t="s">
        <v>161</v>
      </c>
      <c r="V360" s="2">
        <v>180.1</v>
      </c>
      <c r="W360" s="2">
        <v>168</v>
      </c>
      <c r="X360" s="2">
        <v>178.5</v>
      </c>
      <c r="Y360" s="2">
        <v>159.5</v>
      </c>
      <c r="Z360" s="2">
        <v>167.8</v>
      </c>
      <c r="AA360" s="2">
        <v>171.8</v>
      </c>
      <c r="AB360" s="2">
        <v>178.8</v>
      </c>
      <c r="AC360" s="2">
        <v>168.9</v>
      </c>
      <c r="AD360" s="2">
        <v>174.9</v>
      </c>
    </row>
    <row r="361" spans="1:30" x14ac:dyDescent="0.35">
      <c r="A361" s="2" t="s">
        <v>35</v>
      </c>
      <c r="B361" s="2">
        <v>2023</v>
      </c>
      <c r="C361" s="2" t="s">
        <v>31</v>
      </c>
      <c r="D361" s="2">
        <v>173.8</v>
      </c>
      <c r="E361" s="2">
        <v>210.7</v>
      </c>
      <c r="F361" s="2">
        <v>194.5</v>
      </c>
      <c r="G361" s="2">
        <v>174.6</v>
      </c>
      <c r="H361" s="2">
        <v>187.2</v>
      </c>
      <c r="I361" s="2">
        <v>158.30000000000001</v>
      </c>
      <c r="J361" s="2">
        <v>153.9</v>
      </c>
      <c r="K361" s="2">
        <v>170.9</v>
      </c>
      <c r="L361" s="2">
        <v>121.1</v>
      </c>
      <c r="M361" s="2">
        <v>208.4</v>
      </c>
      <c r="N361" s="2">
        <v>171.4</v>
      </c>
      <c r="O361" s="2">
        <v>191.2</v>
      </c>
      <c r="P361" s="2">
        <v>176.7</v>
      </c>
      <c r="Q361" s="2">
        <v>198.2</v>
      </c>
      <c r="R361" s="2">
        <v>184.9</v>
      </c>
      <c r="S361" s="2">
        <v>177.6</v>
      </c>
      <c r="T361" s="2">
        <v>183.8</v>
      </c>
      <c r="U361" s="2" t="s">
        <v>161</v>
      </c>
      <c r="V361" s="2">
        <v>182</v>
      </c>
      <c r="W361" s="2">
        <v>172.9</v>
      </c>
      <c r="X361" s="2">
        <v>182.3</v>
      </c>
      <c r="Y361" s="2">
        <v>163.6</v>
      </c>
      <c r="Z361" s="2">
        <v>169.5</v>
      </c>
      <c r="AA361" s="2">
        <v>174.3</v>
      </c>
      <c r="AB361" s="2">
        <v>178.6</v>
      </c>
      <c r="AC361" s="2">
        <v>172.8</v>
      </c>
      <c r="AD361" s="2">
        <v>176.5</v>
      </c>
    </row>
    <row r="362" spans="1:30" x14ac:dyDescent="0.35">
      <c r="A362" s="2" t="s">
        <v>30</v>
      </c>
      <c r="B362" s="2">
        <v>2023</v>
      </c>
      <c r="C362" s="2" t="s">
        <v>36</v>
      </c>
      <c r="D362" s="2">
        <v>174.2</v>
      </c>
      <c r="E362" s="2">
        <v>205.2</v>
      </c>
      <c r="F362" s="2">
        <v>173.9</v>
      </c>
      <c r="G362" s="2">
        <v>177</v>
      </c>
      <c r="H362" s="2">
        <v>183.4</v>
      </c>
      <c r="I362" s="2">
        <v>167.2</v>
      </c>
      <c r="J362" s="2">
        <v>140.9</v>
      </c>
      <c r="K362" s="2">
        <v>170.4</v>
      </c>
      <c r="L362" s="2">
        <v>119.1</v>
      </c>
      <c r="M362" s="2">
        <v>212.1</v>
      </c>
      <c r="N362" s="2">
        <v>177.6</v>
      </c>
      <c r="O362" s="2">
        <v>189.9</v>
      </c>
      <c r="P362" s="2">
        <v>174.8</v>
      </c>
      <c r="Q362" s="2">
        <v>198.3</v>
      </c>
      <c r="R362" s="2">
        <v>190</v>
      </c>
      <c r="S362" s="2">
        <v>187</v>
      </c>
      <c r="T362" s="2">
        <v>189.6</v>
      </c>
      <c r="U362" s="2" t="s">
        <v>32</v>
      </c>
      <c r="V362" s="2">
        <v>181.6</v>
      </c>
      <c r="W362" s="2">
        <v>178.6</v>
      </c>
      <c r="X362" s="2">
        <v>186.6</v>
      </c>
      <c r="Y362" s="2">
        <v>169</v>
      </c>
      <c r="Z362" s="2">
        <v>172.8</v>
      </c>
      <c r="AA362" s="2">
        <v>178.5</v>
      </c>
      <c r="AB362" s="2">
        <v>180.7</v>
      </c>
      <c r="AC362" s="2">
        <v>177.9</v>
      </c>
      <c r="AD362" s="2">
        <v>178</v>
      </c>
    </row>
    <row r="363" spans="1:30" x14ac:dyDescent="0.35">
      <c r="A363" s="2" t="s">
        <v>33</v>
      </c>
      <c r="B363" s="2">
        <v>2023</v>
      </c>
      <c r="C363" s="2" t="s">
        <v>36</v>
      </c>
      <c r="D363" s="2">
        <v>174.7</v>
      </c>
      <c r="E363" s="2">
        <v>212.2</v>
      </c>
      <c r="F363" s="2">
        <v>177.2</v>
      </c>
      <c r="G363" s="2">
        <v>177.9</v>
      </c>
      <c r="H363" s="2">
        <v>172.2</v>
      </c>
      <c r="I363" s="2">
        <v>172.1</v>
      </c>
      <c r="J363" s="2">
        <v>175.8</v>
      </c>
      <c r="K363" s="2">
        <v>172.2</v>
      </c>
      <c r="L363" s="2">
        <v>121.9</v>
      </c>
      <c r="M363" s="2">
        <v>204.8</v>
      </c>
      <c r="N363" s="2">
        <v>164.9</v>
      </c>
      <c r="O363" s="2">
        <v>196.6</v>
      </c>
      <c r="P363" s="2">
        <v>180.7</v>
      </c>
      <c r="Q363" s="2">
        <v>202.7</v>
      </c>
      <c r="R363" s="2">
        <v>180.3</v>
      </c>
      <c r="S363" s="2">
        <v>167</v>
      </c>
      <c r="T363" s="2">
        <v>178.2</v>
      </c>
      <c r="U363" s="2" t="s">
        <v>162</v>
      </c>
      <c r="V363" s="2">
        <v>182.8</v>
      </c>
      <c r="W363" s="2">
        <v>169.2</v>
      </c>
      <c r="X363" s="2">
        <v>180.8</v>
      </c>
      <c r="Y363" s="2">
        <v>159.80000000000001</v>
      </c>
      <c r="Z363" s="2">
        <v>168.4</v>
      </c>
      <c r="AA363" s="2">
        <v>172.5</v>
      </c>
      <c r="AB363" s="2">
        <v>181.4</v>
      </c>
      <c r="AC363" s="2">
        <v>170</v>
      </c>
      <c r="AD363" s="2">
        <v>176.3</v>
      </c>
    </row>
    <row r="364" spans="1:30" x14ac:dyDescent="0.35">
      <c r="A364" s="2" t="s">
        <v>35</v>
      </c>
      <c r="B364" s="2">
        <v>2023</v>
      </c>
      <c r="C364" s="2" t="s">
        <v>36</v>
      </c>
      <c r="D364" s="2">
        <v>174.4</v>
      </c>
      <c r="E364" s="2">
        <v>207.7</v>
      </c>
      <c r="F364" s="2">
        <v>175.2</v>
      </c>
      <c r="G364" s="2">
        <v>177.3</v>
      </c>
      <c r="H364" s="2">
        <v>179.3</v>
      </c>
      <c r="I364" s="2">
        <v>169.5</v>
      </c>
      <c r="J364" s="2">
        <v>152.69999999999999</v>
      </c>
      <c r="K364" s="2">
        <v>171</v>
      </c>
      <c r="L364" s="2">
        <v>120</v>
      </c>
      <c r="M364" s="2">
        <v>209.7</v>
      </c>
      <c r="N364" s="2">
        <v>172.3</v>
      </c>
      <c r="O364" s="2">
        <v>193</v>
      </c>
      <c r="P364" s="2">
        <v>177</v>
      </c>
      <c r="Q364" s="2">
        <v>199.5</v>
      </c>
      <c r="R364" s="2">
        <v>186.2</v>
      </c>
      <c r="S364" s="2">
        <v>178.7</v>
      </c>
      <c r="T364" s="2">
        <v>185.1</v>
      </c>
      <c r="U364" s="2" t="s">
        <v>162</v>
      </c>
      <c r="V364" s="2">
        <v>182.1</v>
      </c>
      <c r="W364" s="2">
        <v>174.2</v>
      </c>
      <c r="X364" s="2">
        <v>184.4</v>
      </c>
      <c r="Y364" s="2">
        <v>164.2</v>
      </c>
      <c r="Z364" s="2">
        <v>170.3</v>
      </c>
      <c r="AA364" s="2">
        <v>175</v>
      </c>
      <c r="AB364" s="2">
        <v>181</v>
      </c>
      <c r="AC364" s="2">
        <v>174.1</v>
      </c>
      <c r="AD364" s="2">
        <v>177.2</v>
      </c>
    </row>
    <row r="365" spans="1:30" x14ac:dyDescent="0.35">
      <c r="A365" s="2" t="s">
        <v>30</v>
      </c>
      <c r="B365" s="2">
        <v>2023</v>
      </c>
      <c r="C365" s="2" t="s">
        <v>38</v>
      </c>
      <c r="D365" s="2">
        <v>174.3</v>
      </c>
      <c r="E365" s="2">
        <v>205.2</v>
      </c>
      <c r="F365" s="2">
        <v>173.9</v>
      </c>
      <c r="G365" s="2">
        <v>177</v>
      </c>
      <c r="H365" s="2">
        <v>183.3</v>
      </c>
      <c r="I365" s="2">
        <v>167.2</v>
      </c>
      <c r="J365" s="2">
        <v>140.9</v>
      </c>
      <c r="K365" s="2">
        <v>170.5</v>
      </c>
      <c r="L365" s="2">
        <v>119.1</v>
      </c>
      <c r="M365" s="2">
        <v>212.1</v>
      </c>
      <c r="N365" s="2">
        <v>177.6</v>
      </c>
      <c r="O365" s="2">
        <v>189.9</v>
      </c>
      <c r="P365" s="2">
        <v>174.8</v>
      </c>
      <c r="Q365" s="2">
        <v>198.4</v>
      </c>
      <c r="R365" s="2">
        <v>190</v>
      </c>
      <c r="S365" s="2">
        <v>187</v>
      </c>
      <c r="T365" s="2">
        <v>189.6</v>
      </c>
      <c r="U365" s="2" t="s">
        <v>32</v>
      </c>
      <c r="V365" s="2">
        <v>181.4</v>
      </c>
      <c r="W365" s="2">
        <v>178.6</v>
      </c>
      <c r="X365" s="2">
        <v>186.6</v>
      </c>
      <c r="Y365" s="2">
        <v>169</v>
      </c>
      <c r="Z365" s="2">
        <v>172.8</v>
      </c>
      <c r="AA365" s="2">
        <v>178.5</v>
      </c>
      <c r="AB365" s="2">
        <v>180.7</v>
      </c>
      <c r="AC365" s="2">
        <v>177.9</v>
      </c>
      <c r="AD365" s="2">
        <v>178</v>
      </c>
    </row>
    <row r="366" spans="1:30" x14ac:dyDescent="0.35">
      <c r="A366" s="2" t="s">
        <v>33</v>
      </c>
      <c r="B366" s="2">
        <v>2023</v>
      </c>
      <c r="C366" s="2" t="s">
        <v>38</v>
      </c>
      <c r="D366" s="2">
        <v>174.7</v>
      </c>
      <c r="E366" s="2">
        <v>212.2</v>
      </c>
      <c r="F366" s="2">
        <v>177.2</v>
      </c>
      <c r="G366" s="2">
        <v>177.9</v>
      </c>
      <c r="H366" s="2">
        <v>172.2</v>
      </c>
      <c r="I366" s="2">
        <v>172.1</v>
      </c>
      <c r="J366" s="2">
        <v>175.9</v>
      </c>
      <c r="K366" s="2">
        <v>172.2</v>
      </c>
      <c r="L366" s="2">
        <v>121.9</v>
      </c>
      <c r="M366" s="2">
        <v>204.8</v>
      </c>
      <c r="N366" s="2">
        <v>164.9</v>
      </c>
      <c r="O366" s="2">
        <v>196.6</v>
      </c>
      <c r="P366" s="2">
        <v>180.8</v>
      </c>
      <c r="Q366" s="2">
        <v>202.7</v>
      </c>
      <c r="R366" s="2">
        <v>180.2</v>
      </c>
      <c r="S366" s="2">
        <v>167</v>
      </c>
      <c r="T366" s="2">
        <v>178.2</v>
      </c>
      <c r="U366" s="2" t="s">
        <v>162</v>
      </c>
      <c r="V366" s="2">
        <v>182.6</v>
      </c>
      <c r="W366" s="2">
        <v>169.2</v>
      </c>
      <c r="X366" s="2">
        <v>180.8</v>
      </c>
      <c r="Y366" s="2">
        <v>159.80000000000001</v>
      </c>
      <c r="Z366" s="2">
        <v>168.4</v>
      </c>
      <c r="AA366" s="2">
        <v>172.5</v>
      </c>
      <c r="AB366" s="2">
        <v>181.5</v>
      </c>
      <c r="AC366" s="2">
        <v>170</v>
      </c>
      <c r="AD366" s="2">
        <v>176.3</v>
      </c>
    </row>
    <row r="367" spans="1:30" x14ac:dyDescent="0.35">
      <c r="A367" s="2" t="s">
        <v>35</v>
      </c>
      <c r="B367" s="2">
        <v>2023</v>
      </c>
      <c r="C367" s="2" t="s">
        <v>38</v>
      </c>
      <c r="D367" s="2">
        <v>174.4</v>
      </c>
      <c r="E367" s="2">
        <v>207.7</v>
      </c>
      <c r="F367" s="2">
        <v>175.2</v>
      </c>
      <c r="G367" s="2">
        <v>177.3</v>
      </c>
      <c r="H367" s="2">
        <v>179.2</v>
      </c>
      <c r="I367" s="2">
        <v>169.5</v>
      </c>
      <c r="J367" s="2">
        <v>152.80000000000001</v>
      </c>
      <c r="K367" s="2">
        <v>171.1</v>
      </c>
      <c r="L367" s="2">
        <v>120</v>
      </c>
      <c r="M367" s="2">
        <v>209.7</v>
      </c>
      <c r="N367" s="2">
        <v>172.3</v>
      </c>
      <c r="O367" s="2">
        <v>193</v>
      </c>
      <c r="P367" s="2">
        <v>177</v>
      </c>
      <c r="Q367" s="2">
        <v>199.5</v>
      </c>
      <c r="R367" s="2">
        <v>186.1</v>
      </c>
      <c r="S367" s="2">
        <v>178.7</v>
      </c>
      <c r="T367" s="2">
        <v>185.1</v>
      </c>
      <c r="U367" s="2" t="s">
        <v>162</v>
      </c>
      <c r="V367" s="2">
        <v>181.9</v>
      </c>
      <c r="W367" s="2">
        <v>174.2</v>
      </c>
      <c r="X367" s="2">
        <v>184.4</v>
      </c>
      <c r="Y367" s="2">
        <v>164.2</v>
      </c>
      <c r="Z367" s="2">
        <v>170.3</v>
      </c>
      <c r="AA367" s="2">
        <v>175</v>
      </c>
      <c r="AB367" s="2">
        <v>181</v>
      </c>
      <c r="AC367" s="2">
        <v>174.1</v>
      </c>
      <c r="AD367" s="2">
        <v>177.2</v>
      </c>
    </row>
    <row r="368" spans="1:30" x14ac:dyDescent="0.35">
      <c r="A368" s="2" t="s">
        <v>30</v>
      </c>
      <c r="B368" s="2">
        <v>2023</v>
      </c>
      <c r="C368" s="2" t="s">
        <v>39</v>
      </c>
      <c r="D368" s="2">
        <v>173.3</v>
      </c>
      <c r="E368" s="2">
        <v>206.9</v>
      </c>
      <c r="F368" s="2">
        <v>167.9</v>
      </c>
      <c r="G368" s="2">
        <v>178.2</v>
      </c>
      <c r="H368" s="2">
        <v>178.5</v>
      </c>
      <c r="I368" s="2">
        <v>173.7</v>
      </c>
      <c r="J368" s="2">
        <v>142.80000000000001</v>
      </c>
      <c r="K368" s="2">
        <v>172.8</v>
      </c>
      <c r="L368" s="2">
        <v>120.4</v>
      </c>
      <c r="M368" s="2">
        <v>215.5</v>
      </c>
      <c r="N368" s="2">
        <v>178.2</v>
      </c>
      <c r="O368" s="2">
        <v>190.5</v>
      </c>
      <c r="P368" s="2">
        <v>175.5</v>
      </c>
      <c r="Q368" s="2">
        <v>199.5</v>
      </c>
      <c r="R368" s="2">
        <v>190.7</v>
      </c>
      <c r="S368" s="2">
        <v>187.3</v>
      </c>
      <c r="T368" s="2">
        <v>190.2</v>
      </c>
      <c r="U368" s="2" t="s">
        <v>139</v>
      </c>
      <c r="V368" s="2">
        <v>181.5</v>
      </c>
      <c r="W368" s="2">
        <v>179.1</v>
      </c>
      <c r="X368" s="2">
        <v>187.2</v>
      </c>
      <c r="Y368" s="2">
        <v>169.4</v>
      </c>
      <c r="Z368" s="2">
        <v>173.2</v>
      </c>
      <c r="AA368" s="2">
        <v>179.4</v>
      </c>
      <c r="AB368" s="2">
        <v>183.8</v>
      </c>
      <c r="AC368" s="2">
        <v>178.9</v>
      </c>
      <c r="AD368" s="2">
        <v>178.8</v>
      </c>
    </row>
    <row r="369" spans="1:30" x14ac:dyDescent="0.35">
      <c r="A369" s="2" t="s">
        <v>33</v>
      </c>
      <c r="B369" s="2">
        <v>2023</v>
      </c>
      <c r="C369" s="2" t="s">
        <v>39</v>
      </c>
      <c r="D369" s="2">
        <v>174.8</v>
      </c>
      <c r="E369" s="2">
        <v>213.7</v>
      </c>
      <c r="F369" s="2">
        <v>172.4</v>
      </c>
      <c r="G369" s="2">
        <v>178.8</v>
      </c>
      <c r="H369" s="2">
        <v>168.7</v>
      </c>
      <c r="I369" s="2">
        <v>179.2</v>
      </c>
      <c r="J369" s="2">
        <v>179.9</v>
      </c>
      <c r="K369" s="2">
        <v>174.7</v>
      </c>
      <c r="L369" s="2">
        <v>123.1</v>
      </c>
      <c r="M369" s="2">
        <v>207.8</v>
      </c>
      <c r="N369" s="2">
        <v>165.5</v>
      </c>
      <c r="O369" s="2">
        <v>197</v>
      </c>
      <c r="P369" s="2">
        <v>182.1</v>
      </c>
      <c r="Q369" s="2">
        <v>203.5</v>
      </c>
      <c r="R369" s="2">
        <v>181</v>
      </c>
      <c r="S369" s="2">
        <v>167.7</v>
      </c>
      <c r="T369" s="2">
        <v>178.9</v>
      </c>
      <c r="U369" s="2" t="s">
        <v>163</v>
      </c>
      <c r="V369" s="2">
        <v>182.1</v>
      </c>
      <c r="W369" s="2">
        <v>169.6</v>
      </c>
      <c r="X369" s="2">
        <v>181.5</v>
      </c>
      <c r="Y369" s="2">
        <v>160.1</v>
      </c>
      <c r="Z369" s="2">
        <v>168.8</v>
      </c>
      <c r="AA369" s="2">
        <v>174.2</v>
      </c>
      <c r="AB369" s="2">
        <v>184.4</v>
      </c>
      <c r="AC369" s="2">
        <v>170.9</v>
      </c>
      <c r="AD369" s="2">
        <v>177.4</v>
      </c>
    </row>
    <row r="370" spans="1:30" x14ac:dyDescent="0.35">
      <c r="A370" s="2" t="s">
        <v>35</v>
      </c>
      <c r="B370" s="2">
        <v>2023</v>
      </c>
      <c r="C370" s="2" t="s">
        <v>39</v>
      </c>
      <c r="D370" s="2">
        <v>173.8</v>
      </c>
      <c r="E370" s="2">
        <v>209.3</v>
      </c>
      <c r="F370" s="2">
        <v>169.6</v>
      </c>
      <c r="G370" s="2">
        <v>178.4</v>
      </c>
      <c r="H370" s="2">
        <v>174.9</v>
      </c>
      <c r="I370" s="2">
        <v>176.3</v>
      </c>
      <c r="J370" s="2">
        <v>155.4</v>
      </c>
      <c r="K370" s="2">
        <v>173.4</v>
      </c>
      <c r="L370" s="2">
        <v>121.3</v>
      </c>
      <c r="M370" s="2">
        <v>212.9</v>
      </c>
      <c r="N370" s="2">
        <v>172.9</v>
      </c>
      <c r="O370" s="2">
        <v>193.5</v>
      </c>
      <c r="P370" s="2">
        <v>177.9</v>
      </c>
      <c r="Q370" s="2">
        <v>200.6</v>
      </c>
      <c r="R370" s="2">
        <v>186.9</v>
      </c>
      <c r="S370" s="2">
        <v>179.2</v>
      </c>
      <c r="T370" s="2">
        <v>185.7</v>
      </c>
      <c r="U370" s="2" t="s">
        <v>163</v>
      </c>
      <c r="V370" s="2">
        <v>181.7</v>
      </c>
      <c r="W370" s="2">
        <v>174.6</v>
      </c>
      <c r="X370" s="2">
        <v>185</v>
      </c>
      <c r="Y370" s="2">
        <v>164.5</v>
      </c>
      <c r="Z370" s="2">
        <v>170.7</v>
      </c>
      <c r="AA370" s="2">
        <v>176.4</v>
      </c>
      <c r="AB370" s="2">
        <v>184</v>
      </c>
      <c r="AC370" s="2">
        <v>175</v>
      </c>
      <c r="AD370" s="2">
        <v>178.1</v>
      </c>
    </row>
    <row r="371" spans="1:30" x14ac:dyDescent="0.35">
      <c r="A371" s="2" t="s">
        <v>30</v>
      </c>
      <c r="B371" s="2">
        <v>2023</v>
      </c>
      <c r="C371" s="2" t="s">
        <v>41</v>
      </c>
      <c r="D371" s="2">
        <v>173.2</v>
      </c>
      <c r="E371" s="2">
        <v>211.5</v>
      </c>
      <c r="F371" s="2">
        <v>171</v>
      </c>
      <c r="G371" s="2">
        <v>179.6</v>
      </c>
      <c r="H371" s="2">
        <v>173.3</v>
      </c>
      <c r="I371" s="2">
        <v>169</v>
      </c>
      <c r="J371" s="2">
        <v>148.69999999999999</v>
      </c>
      <c r="K371" s="2">
        <v>174.9</v>
      </c>
      <c r="L371" s="2">
        <v>121.9</v>
      </c>
      <c r="M371" s="2">
        <v>221</v>
      </c>
      <c r="N371" s="2">
        <v>178.7</v>
      </c>
      <c r="O371" s="2">
        <v>191.1</v>
      </c>
      <c r="P371" s="2">
        <v>176.8</v>
      </c>
      <c r="Q371" s="2">
        <v>199.9</v>
      </c>
      <c r="R371" s="2">
        <v>191.2</v>
      </c>
      <c r="S371" s="2">
        <v>187.9</v>
      </c>
      <c r="T371" s="2">
        <v>190.8</v>
      </c>
      <c r="U371" s="2" t="s">
        <v>139</v>
      </c>
      <c r="V371" s="2">
        <v>182.5</v>
      </c>
      <c r="W371" s="2">
        <v>179.8</v>
      </c>
      <c r="X371" s="2">
        <v>187.8</v>
      </c>
      <c r="Y371" s="2">
        <v>169.7</v>
      </c>
      <c r="Z371" s="2">
        <v>173.8</v>
      </c>
      <c r="AA371" s="2">
        <v>180.3</v>
      </c>
      <c r="AB371" s="2">
        <v>184.9</v>
      </c>
      <c r="AC371" s="2">
        <v>179.5</v>
      </c>
      <c r="AD371" s="2">
        <v>179.8</v>
      </c>
    </row>
    <row r="372" spans="1:30" x14ac:dyDescent="0.35">
      <c r="A372" s="2" t="s">
        <v>33</v>
      </c>
      <c r="B372" s="2">
        <v>2023</v>
      </c>
      <c r="C372" s="2" t="s">
        <v>41</v>
      </c>
      <c r="D372" s="2">
        <v>174.7</v>
      </c>
      <c r="E372" s="2">
        <v>219.4</v>
      </c>
      <c r="F372" s="2">
        <v>176.7</v>
      </c>
      <c r="G372" s="2">
        <v>179.4</v>
      </c>
      <c r="H372" s="2">
        <v>164.4</v>
      </c>
      <c r="I372" s="2">
        <v>175.8</v>
      </c>
      <c r="J372" s="2">
        <v>185</v>
      </c>
      <c r="K372" s="2">
        <v>176.9</v>
      </c>
      <c r="L372" s="2">
        <v>124.2</v>
      </c>
      <c r="M372" s="2">
        <v>211.9</v>
      </c>
      <c r="N372" s="2">
        <v>165.9</v>
      </c>
      <c r="O372" s="2">
        <v>197.7</v>
      </c>
      <c r="P372" s="2">
        <v>183.1</v>
      </c>
      <c r="Q372" s="2">
        <v>204.2</v>
      </c>
      <c r="R372" s="2">
        <v>181.3</v>
      </c>
      <c r="S372" s="2">
        <v>168.1</v>
      </c>
      <c r="T372" s="2">
        <v>179.3</v>
      </c>
      <c r="U372" s="2" t="s">
        <v>164</v>
      </c>
      <c r="V372" s="2">
        <v>183.4</v>
      </c>
      <c r="W372" s="2">
        <v>170.1</v>
      </c>
      <c r="X372" s="2">
        <v>182.2</v>
      </c>
      <c r="Y372" s="2">
        <v>160.4</v>
      </c>
      <c r="Z372" s="2">
        <v>169.2</v>
      </c>
      <c r="AA372" s="2">
        <v>174.8</v>
      </c>
      <c r="AB372" s="2">
        <v>185.6</v>
      </c>
      <c r="AC372" s="2">
        <v>171.6</v>
      </c>
      <c r="AD372" s="2">
        <v>178.2</v>
      </c>
    </row>
    <row r="373" spans="1:30" x14ac:dyDescent="0.35">
      <c r="A373" s="2" t="s">
        <v>35</v>
      </c>
      <c r="B373" s="2">
        <v>2023</v>
      </c>
      <c r="C373" s="2" t="s">
        <v>41</v>
      </c>
      <c r="D373" s="2">
        <v>173.7</v>
      </c>
      <c r="E373" s="2">
        <v>214.3</v>
      </c>
      <c r="F373" s="2">
        <v>173.2</v>
      </c>
      <c r="G373" s="2">
        <v>179.5</v>
      </c>
      <c r="H373" s="2">
        <v>170</v>
      </c>
      <c r="I373" s="2">
        <v>172.2</v>
      </c>
      <c r="J373" s="2">
        <v>161</v>
      </c>
      <c r="K373" s="2">
        <v>175.6</v>
      </c>
      <c r="L373" s="2">
        <v>122.7</v>
      </c>
      <c r="M373" s="2">
        <v>218</v>
      </c>
      <c r="N373" s="2">
        <v>173.4</v>
      </c>
      <c r="O373" s="2">
        <v>194.2</v>
      </c>
      <c r="P373" s="2">
        <v>179.1</v>
      </c>
      <c r="Q373" s="2">
        <v>201</v>
      </c>
      <c r="R373" s="2">
        <v>187.3</v>
      </c>
      <c r="S373" s="2">
        <v>179.7</v>
      </c>
      <c r="T373" s="2">
        <v>186.2</v>
      </c>
      <c r="U373" s="2" t="s">
        <v>164</v>
      </c>
      <c r="V373" s="2">
        <v>182.8</v>
      </c>
      <c r="W373" s="2">
        <v>175.2</v>
      </c>
      <c r="X373" s="2">
        <v>185.7</v>
      </c>
      <c r="Y373" s="2">
        <v>164.8</v>
      </c>
      <c r="Z373" s="2">
        <v>171.2</v>
      </c>
      <c r="AA373" s="2">
        <v>177.1</v>
      </c>
      <c r="AB373" s="2">
        <v>185.2</v>
      </c>
      <c r="AC373" s="2">
        <v>175.7</v>
      </c>
      <c r="AD373" s="2">
        <v>179.1</v>
      </c>
    </row>
  </sheetData>
  <autoFilter ref="A1:AD373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96A8-3C80-404D-8D04-3D9C6970C43B}">
  <dimension ref="A1:C34"/>
  <sheetViews>
    <sheetView tabSelected="1" workbookViewId="0">
      <selection activeCell="C6" sqref="C6:C7"/>
    </sheetView>
  </sheetViews>
  <sheetFormatPr defaultRowHeight="14.5" x14ac:dyDescent="0.35"/>
  <cols>
    <col min="1" max="1" width="33.6328125" bestFit="1" customWidth="1"/>
    <col min="2" max="2" width="58.453125" customWidth="1"/>
    <col min="3" max="3" width="50.6328125" customWidth="1"/>
  </cols>
  <sheetData>
    <row r="1" spans="1:3" x14ac:dyDescent="0.35">
      <c r="A1" s="4" t="s">
        <v>165</v>
      </c>
    </row>
    <row r="3" spans="1:3" x14ac:dyDescent="0.35">
      <c r="A3" s="4" t="s">
        <v>312</v>
      </c>
    </row>
    <row r="4" spans="1:3" ht="14" customHeight="1" x14ac:dyDescent="0.35">
      <c r="A4" s="1" t="s">
        <v>166</v>
      </c>
      <c r="B4" s="1" t="s">
        <v>167</v>
      </c>
      <c r="C4" s="1" t="s">
        <v>168</v>
      </c>
    </row>
    <row r="5" spans="1:3" ht="14" customHeight="1" x14ac:dyDescent="0.35">
      <c r="A5" s="2" t="s">
        <v>0</v>
      </c>
      <c r="B5" s="46" t="s">
        <v>277</v>
      </c>
      <c r="C5" s="2" t="s">
        <v>303</v>
      </c>
    </row>
    <row r="6" spans="1:3" x14ac:dyDescent="0.35">
      <c r="A6" s="2" t="s">
        <v>1</v>
      </c>
      <c r="B6" s="39" t="s">
        <v>273</v>
      </c>
      <c r="C6" s="2" t="s">
        <v>304</v>
      </c>
    </row>
    <row r="7" spans="1:3" x14ac:dyDescent="0.35">
      <c r="A7" s="2" t="s">
        <v>2</v>
      </c>
      <c r="B7" s="39" t="s">
        <v>274</v>
      </c>
      <c r="C7" s="2" t="s">
        <v>303</v>
      </c>
    </row>
    <row r="8" spans="1:3" x14ac:dyDescent="0.35">
      <c r="A8" s="2" t="s">
        <v>3</v>
      </c>
      <c r="B8" s="39" t="s">
        <v>275</v>
      </c>
      <c r="C8" s="2" t="s">
        <v>306</v>
      </c>
    </row>
    <row r="9" spans="1:3" x14ac:dyDescent="0.35">
      <c r="A9" s="2" t="s">
        <v>4</v>
      </c>
      <c r="B9" s="39" t="s">
        <v>276</v>
      </c>
      <c r="C9" s="2" t="s">
        <v>307</v>
      </c>
    </row>
    <row r="10" spans="1:3" x14ac:dyDescent="0.35">
      <c r="A10" s="2" t="s">
        <v>5</v>
      </c>
      <c r="B10" s="39" t="s">
        <v>278</v>
      </c>
      <c r="C10" s="2" t="s">
        <v>306</v>
      </c>
    </row>
    <row r="11" spans="1:3" x14ac:dyDescent="0.35">
      <c r="A11" s="2" t="s">
        <v>6</v>
      </c>
      <c r="B11" s="39" t="s">
        <v>279</v>
      </c>
      <c r="C11" s="2" t="s">
        <v>305</v>
      </c>
    </row>
    <row r="12" spans="1:3" x14ac:dyDescent="0.35">
      <c r="A12" s="2" t="s">
        <v>7</v>
      </c>
      <c r="B12" s="39" t="s">
        <v>280</v>
      </c>
      <c r="C12" s="2" t="s">
        <v>305</v>
      </c>
    </row>
    <row r="13" spans="1:3" x14ac:dyDescent="0.35">
      <c r="A13" s="2" t="s">
        <v>8</v>
      </c>
      <c r="B13" s="39" t="s">
        <v>281</v>
      </c>
      <c r="C13" s="2" t="s">
        <v>305</v>
      </c>
    </row>
    <row r="14" spans="1:3" x14ac:dyDescent="0.35">
      <c r="A14" s="2" t="s">
        <v>9</v>
      </c>
      <c r="B14" s="39" t="s">
        <v>282</v>
      </c>
      <c r="C14" s="2" t="s">
        <v>305</v>
      </c>
    </row>
    <row r="15" spans="1:3" x14ac:dyDescent="0.35">
      <c r="A15" s="2" t="s">
        <v>10</v>
      </c>
      <c r="B15" s="39" t="s">
        <v>286</v>
      </c>
      <c r="C15" s="2" t="s">
        <v>305</v>
      </c>
    </row>
    <row r="16" spans="1:3" x14ac:dyDescent="0.35">
      <c r="A16" s="2" t="s">
        <v>11</v>
      </c>
      <c r="B16" s="39" t="s">
        <v>287</v>
      </c>
      <c r="C16" s="2" t="s">
        <v>305</v>
      </c>
    </row>
    <row r="17" spans="1:3" x14ac:dyDescent="0.35">
      <c r="A17" s="2" t="s">
        <v>12</v>
      </c>
      <c r="B17" s="39" t="s">
        <v>288</v>
      </c>
      <c r="C17" s="2" t="s">
        <v>305</v>
      </c>
    </row>
    <row r="18" spans="1:3" x14ac:dyDescent="0.35">
      <c r="A18" s="2" t="s">
        <v>13</v>
      </c>
      <c r="B18" s="39" t="s">
        <v>289</v>
      </c>
      <c r="C18" s="2" t="s">
        <v>305</v>
      </c>
    </row>
    <row r="19" spans="1:3" x14ac:dyDescent="0.35">
      <c r="A19" s="2" t="s">
        <v>14</v>
      </c>
      <c r="B19" s="39" t="s">
        <v>290</v>
      </c>
      <c r="C19" s="2" t="s">
        <v>307</v>
      </c>
    </row>
    <row r="20" spans="1:3" x14ac:dyDescent="0.35">
      <c r="A20" s="2" t="s">
        <v>15</v>
      </c>
      <c r="B20" s="39" t="s">
        <v>291</v>
      </c>
      <c r="C20" s="2" t="s">
        <v>305</v>
      </c>
    </row>
    <row r="21" spans="1:3" x14ac:dyDescent="0.35">
      <c r="A21" s="2" t="s">
        <v>16</v>
      </c>
      <c r="B21" s="39" t="s">
        <v>292</v>
      </c>
      <c r="C21" s="2" t="s">
        <v>307</v>
      </c>
    </row>
    <row r="22" spans="1:3" x14ac:dyDescent="0.35">
      <c r="A22" s="2" t="s">
        <v>17</v>
      </c>
      <c r="B22" s="39" t="s">
        <v>293</v>
      </c>
      <c r="C22" s="2" t="s">
        <v>307</v>
      </c>
    </row>
    <row r="23" spans="1:3" x14ac:dyDescent="0.35">
      <c r="A23" s="2" t="s">
        <v>18</v>
      </c>
      <c r="B23" s="39" t="s">
        <v>283</v>
      </c>
      <c r="C23" s="2" t="s">
        <v>307</v>
      </c>
    </row>
    <row r="24" spans="1:3" x14ac:dyDescent="0.35">
      <c r="A24" s="2" t="s">
        <v>19</v>
      </c>
      <c r="B24" s="39" t="s">
        <v>284</v>
      </c>
      <c r="C24" s="2" t="s">
        <v>307</v>
      </c>
    </row>
    <row r="25" spans="1:3" x14ac:dyDescent="0.35">
      <c r="A25" s="2" t="s">
        <v>20</v>
      </c>
      <c r="B25" s="39" t="s">
        <v>294</v>
      </c>
      <c r="C25" s="2" t="s">
        <v>176</v>
      </c>
    </row>
    <row r="26" spans="1:3" x14ac:dyDescent="0.35">
      <c r="A26" s="2" t="s">
        <v>21</v>
      </c>
      <c r="B26" s="39" t="s">
        <v>285</v>
      </c>
      <c r="C26" s="2" t="s">
        <v>305</v>
      </c>
    </row>
    <row r="27" spans="1:3" x14ac:dyDescent="0.35">
      <c r="A27" s="2" t="s">
        <v>22</v>
      </c>
      <c r="B27" s="39" t="s">
        <v>295</v>
      </c>
      <c r="C27" s="2" t="s">
        <v>307</v>
      </c>
    </row>
    <row r="28" spans="1:3" x14ac:dyDescent="0.35">
      <c r="A28" s="2" t="s">
        <v>23</v>
      </c>
      <c r="B28" s="39" t="s">
        <v>296</v>
      </c>
      <c r="C28" s="2" t="s">
        <v>305</v>
      </c>
    </row>
    <row r="29" spans="1:3" x14ac:dyDescent="0.35">
      <c r="A29" s="2" t="s">
        <v>24</v>
      </c>
      <c r="B29" s="39" t="s">
        <v>297</v>
      </c>
      <c r="C29" s="2" t="s">
        <v>307</v>
      </c>
    </row>
    <row r="30" spans="1:3" x14ac:dyDescent="0.35">
      <c r="A30" s="2" t="s">
        <v>25</v>
      </c>
      <c r="B30" s="39" t="s">
        <v>298</v>
      </c>
      <c r="C30" s="2" t="s">
        <v>307</v>
      </c>
    </row>
    <row r="31" spans="1:3" x14ac:dyDescent="0.35">
      <c r="A31" s="2" t="s">
        <v>26</v>
      </c>
      <c r="B31" s="39" t="s">
        <v>299</v>
      </c>
      <c r="C31" s="2" t="s">
        <v>307</v>
      </c>
    </row>
    <row r="32" spans="1:3" x14ac:dyDescent="0.35">
      <c r="A32" s="2" t="s">
        <v>27</v>
      </c>
      <c r="B32" s="39" t="s">
        <v>300</v>
      </c>
      <c r="C32" s="2" t="s">
        <v>307</v>
      </c>
    </row>
    <row r="33" spans="1:3" x14ac:dyDescent="0.35">
      <c r="A33" s="2" t="s">
        <v>28</v>
      </c>
      <c r="B33" s="39" t="s">
        <v>301</v>
      </c>
      <c r="C33" s="2" t="s">
        <v>307</v>
      </c>
    </row>
    <row r="34" spans="1:3" x14ac:dyDescent="0.35">
      <c r="A34" s="2" t="s">
        <v>29</v>
      </c>
      <c r="B34" s="39" t="s">
        <v>302</v>
      </c>
      <c r="C34" s="2" t="s">
        <v>307</v>
      </c>
    </row>
  </sheetData>
  <phoneticPr fontId="3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8750C-3F2D-4162-9043-90EC250091C6}">
  <sheetPr>
    <tabColor rgb="FF92D050"/>
  </sheetPr>
  <dimension ref="A1:N34"/>
  <sheetViews>
    <sheetView showGridLines="0" workbookViewId="0">
      <selection activeCell="Q27" sqref="Q27"/>
    </sheetView>
  </sheetViews>
  <sheetFormatPr defaultRowHeight="14.5" x14ac:dyDescent="0.35"/>
  <cols>
    <col min="1" max="1" width="40.7265625" bestFit="1" customWidth="1"/>
    <col min="2" max="2" width="40.7265625" customWidth="1"/>
    <col min="3" max="3" width="6.7265625" bestFit="1" customWidth="1"/>
    <col min="4" max="4" width="7.54296875" bestFit="1" customWidth="1"/>
    <col min="5" max="5" width="15.1796875" bestFit="1" customWidth="1"/>
    <col min="6" max="6" width="15.1796875" customWidth="1"/>
    <col min="9" max="9" width="6.7265625" bestFit="1" customWidth="1"/>
    <col min="10" max="10" width="10" customWidth="1"/>
    <col min="11" max="11" width="7.54296875" bestFit="1" customWidth="1"/>
    <col min="12" max="12" width="7.54296875" customWidth="1"/>
    <col min="13" max="13" width="15.1796875" bestFit="1" customWidth="1"/>
    <col min="14" max="14" width="15.1796875" customWidth="1"/>
  </cols>
  <sheetData>
    <row r="1" spans="1:14" x14ac:dyDescent="0.35">
      <c r="A1" s="5">
        <v>45047</v>
      </c>
      <c r="B1" s="5"/>
    </row>
    <row r="2" spans="1:14" x14ac:dyDescent="0.35">
      <c r="A2" s="5" t="s">
        <v>177</v>
      </c>
      <c r="B2" s="5"/>
    </row>
    <row r="3" spans="1:14" ht="15.5" x14ac:dyDescent="0.35">
      <c r="A3" s="8" t="s">
        <v>196</v>
      </c>
      <c r="B3" s="5"/>
    </row>
    <row r="4" spans="1:14" ht="15.5" x14ac:dyDescent="0.35">
      <c r="A4" s="9" t="s">
        <v>179</v>
      </c>
      <c r="B4" s="5"/>
    </row>
    <row r="5" spans="1:14" ht="15.5" x14ac:dyDescent="0.35">
      <c r="A5" s="9" t="s">
        <v>178</v>
      </c>
    </row>
    <row r="6" spans="1:14" ht="15" x14ac:dyDescent="0.35">
      <c r="A6" s="1" t="s">
        <v>0</v>
      </c>
      <c r="B6" s="1" t="s">
        <v>169</v>
      </c>
      <c r="C6" s="1" t="s">
        <v>30</v>
      </c>
      <c r="D6" s="1" t="s">
        <v>33</v>
      </c>
      <c r="E6" s="1" t="s">
        <v>35</v>
      </c>
      <c r="H6" s="39"/>
      <c r="I6" s="1" t="s">
        <v>30</v>
      </c>
      <c r="J6" s="39" t="s">
        <v>173</v>
      </c>
      <c r="K6" s="1" t="s">
        <v>33</v>
      </c>
      <c r="L6" s="39" t="s">
        <v>174</v>
      </c>
      <c r="M6" s="1" t="s">
        <v>35</v>
      </c>
      <c r="N6" s="39" t="s">
        <v>175</v>
      </c>
    </row>
    <row r="7" spans="1:14" x14ac:dyDescent="0.35">
      <c r="A7" s="2" t="s">
        <v>3</v>
      </c>
      <c r="B7" s="2" t="s">
        <v>170</v>
      </c>
      <c r="C7" s="2">
        <v>173.2</v>
      </c>
      <c r="D7" s="2">
        <v>174.7</v>
      </c>
      <c r="E7" s="2">
        <v>173.7</v>
      </c>
      <c r="H7" s="2" t="s">
        <v>170</v>
      </c>
      <c r="I7" s="77">
        <f>SUMIF($B$7:$B$32,H7,$C$7:$C$32)</f>
        <v>2290.7000000000007</v>
      </c>
      <c r="J7" s="52">
        <f>I7/$I$13</f>
        <v>0.50918022583800127</v>
      </c>
      <c r="K7" s="77">
        <f>SUMIF($B$7:$B$32,H7,$D$7:$D$32)</f>
        <v>2335.1</v>
      </c>
      <c r="L7" s="52">
        <f>K7/$K$13</f>
        <v>0.52294358721698442</v>
      </c>
      <c r="M7" s="77">
        <f>SUMIF($B$7:$B$32,H7,$E$7:$E$32)</f>
        <v>2306.9</v>
      </c>
      <c r="N7" s="52">
        <f>M7/$M$13</f>
        <v>0.51507100116102522</v>
      </c>
    </row>
    <row r="8" spans="1:14" x14ac:dyDescent="0.35">
      <c r="A8" s="2" t="s">
        <v>4</v>
      </c>
      <c r="B8" s="2" t="s">
        <v>170</v>
      </c>
      <c r="C8" s="2">
        <v>211.5</v>
      </c>
      <c r="D8" s="2">
        <v>219.4</v>
      </c>
      <c r="E8" s="2">
        <v>214.3</v>
      </c>
      <c r="H8" s="2" t="s">
        <v>171</v>
      </c>
      <c r="I8" s="39">
        <f t="shared" ref="I8:I11" si="0">SUMIF($B$7:$B$32,H8,$C$7:$C$32)</f>
        <v>1088.0999999999999</v>
      </c>
      <c r="J8" s="50">
        <f t="shared" ref="J8:J12" si="1">I8/$I$13</f>
        <v>0.24186449719925304</v>
      </c>
      <c r="K8" s="39">
        <f t="shared" ref="K8:K12" si="2">SUMIF($B$7:$B$32,H8,$D$7:$D$32)</f>
        <v>1065.8</v>
      </c>
      <c r="L8" s="50">
        <f t="shared" ref="L8:L12" si="3">K8/$K$13</f>
        <v>0.23868497077464004</v>
      </c>
      <c r="M8" s="39">
        <f t="shared" ref="M8:M12" si="4">SUMIF($B$7:$B$32,H8,$E$7:$E$32)</f>
        <v>1075</v>
      </c>
      <c r="N8" s="50">
        <f t="shared" ref="N8:N12" si="5">M8/$M$13</f>
        <v>0.24001964812003215</v>
      </c>
    </row>
    <row r="9" spans="1:14" x14ac:dyDescent="0.35">
      <c r="A9" s="2" t="s">
        <v>5</v>
      </c>
      <c r="B9" s="2" t="s">
        <v>170</v>
      </c>
      <c r="C9" s="2">
        <v>171</v>
      </c>
      <c r="D9" s="2">
        <v>176.7</v>
      </c>
      <c r="E9" s="2">
        <v>173.2</v>
      </c>
      <c r="H9" s="2" t="s">
        <v>17</v>
      </c>
      <c r="I9" s="39">
        <f t="shared" si="0"/>
        <v>569.90000000000009</v>
      </c>
      <c r="J9" s="50">
        <f t="shared" si="1"/>
        <v>0.12667822530452563</v>
      </c>
      <c r="K9" s="39">
        <f t="shared" si="2"/>
        <v>528.70000000000005</v>
      </c>
      <c r="L9" s="50">
        <f t="shared" si="3"/>
        <v>0.11840189908852712</v>
      </c>
      <c r="M9" s="39">
        <f t="shared" si="4"/>
        <v>553.20000000000005</v>
      </c>
      <c r="N9" s="50">
        <f t="shared" si="5"/>
        <v>0.12351522729302493</v>
      </c>
    </row>
    <row r="10" spans="1:14" x14ac:dyDescent="0.35">
      <c r="A10" s="2" t="s">
        <v>6</v>
      </c>
      <c r="B10" s="2" t="s">
        <v>170</v>
      </c>
      <c r="C10" s="2">
        <v>179.6</v>
      </c>
      <c r="D10" s="2">
        <v>179.4</v>
      </c>
      <c r="E10" s="2">
        <v>179.5</v>
      </c>
      <c r="H10" s="2" t="s">
        <v>20</v>
      </c>
      <c r="I10" s="39">
        <f t="shared" si="0"/>
        <v>179.8</v>
      </c>
      <c r="J10" s="50">
        <f t="shared" si="1"/>
        <v>3.9966213212412192E-2</v>
      </c>
      <c r="K10" s="39">
        <f t="shared" si="2"/>
        <v>170.1</v>
      </c>
      <c r="L10" s="50">
        <f t="shared" si="3"/>
        <v>3.8093745101113033E-2</v>
      </c>
      <c r="M10" s="39">
        <f t="shared" si="4"/>
        <v>175.2</v>
      </c>
      <c r="N10" s="50">
        <f t="shared" si="5"/>
        <v>3.9117620791283378E-2</v>
      </c>
    </row>
    <row r="11" spans="1:14" x14ac:dyDescent="0.35">
      <c r="A11" s="2" t="s">
        <v>7</v>
      </c>
      <c r="B11" s="2" t="s">
        <v>170</v>
      </c>
      <c r="C11" s="2">
        <v>173.3</v>
      </c>
      <c r="D11" s="2">
        <v>164.4</v>
      </c>
      <c r="E11" s="2">
        <v>170</v>
      </c>
      <c r="H11" s="2" t="s">
        <v>172</v>
      </c>
      <c r="I11" s="39">
        <f t="shared" si="0"/>
        <v>182.5</v>
      </c>
      <c r="J11" s="50">
        <f t="shared" si="1"/>
        <v>4.0566373255090236E-2</v>
      </c>
      <c r="K11" s="39">
        <f t="shared" si="2"/>
        <v>183.4</v>
      </c>
      <c r="L11" s="50">
        <f t="shared" si="3"/>
        <v>4.107226838062393E-2</v>
      </c>
      <c r="M11" s="39">
        <f t="shared" si="4"/>
        <v>182.8</v>
      </c>
      <c r="N11" s="50">
        <f t="shared" si="5"/>
        <v>4.081450388496919E-2</v>
      </c>
    </row>
    <row r="12" spans="1:14" x14ac:dyDescent="0.35">
      <c r="A12" s="2" t="s">
        <v>8</v>
      </c>
      <c r="B12" s="2" t="s">
        <v>170</v>
      </c>
      <c r="C12" s="2">
        <v>169</v>
      </c>
      <c r="D12" s="2">
        <v>175.8</v>
      </c>
      <c r="E12" s="2">
        <v>172.2</v>
      </c>
      <c r="H12" s="2" t="s">
        <v>23</v>
      </c>
      <c r="I12" s="39">
        <f>SUMIF($B$7:$B$32,H12,$C$7:$C$32)</f>
        <v>187.8</v>
      </c>
      <c r="J12" s="50">
        <f t="shared" si="1"/>
        <v>4.174446519071752E-2</v>
      </c>
      <c r="K12" s="39">
        <f t="shared" si="2"/>
        <v>182.2</v>
      </c>
      <c r="L12" s="50">
        <f t="shared" si="3"/>
        <v>4.0803529438111663E-2</v>
      </c>
      <c r="M12" s="39">
        <f t="shared" si="4"/>
        <v>185.7</v>
      </c>
      <c r="N12" s="50">
        <f t="shared" si="5"/>
        <v>4.1461998749665087E-2</v>
      </c>
    </row>
    <row r="13" spans="1:14" x14ac:dyDescent="0.35">
      <c r="A13" s="2" t="s">
        <v>9</v>
      </c>
      <c r="B13" s="2" t="s">
        <v>170</v>
      </c>
      <c r="C13" s="2">
        <v>148.69999999999999</v>
      </c>
      <c r="D13" s="2">
        <v>185</v>
      </c>
      <c r="E13" s="2">
        <v>161</v>
      </c>
      <c r="H13" s="39"/>
      <c r="I13" s="73">
        <f>SUM(I7:I12)</f>
        <v>4498.8000000000011</v>
      </c>
      <c r="J13" s="73"/>
      <c r="K13" s="73">
        <f>SUM(K7:K12)</f>
        <v>4465.2999999999993</v>
      </c>
      <c r="L13" s="39"/>
      <c r="M13" s="73">
        <f>SUM(M7:M12)</f>
        <v>4478.8</v>
      </c>
      <c r="N13" s="39"/>
    </row>
    <row r="14" spans="1:14" x14ac:dyDescent="0.35">
      <c r="A14" s="2" t="s">
        <v>10</v>
      </c>
      <c r="B14" s="2" t="s">
        <v>170</v>
      </c>
      <c r="C14" s="2">
        <v>174.9</v>
      </c>
      <c r="D14" s="2">
        <v>176.9</v>
      </c>
      <c r="E14" s="2">
        <v>175.6</v>
      </c>
    </row>
    <row r="15" spans="1:14" x14ac:dyDescent="0.35">
      <c r="A15" s="2" t="s">
        <v>11</v>
      </c>
      <c r="B15" s="2" t="s">
        <v>170</v>
      </c>
      <c r="C15" s="2">
        <v>121.9</v>
      </c>
      <c r="D15" s="2">
        <v>124.2</v>
      </c>
      <c r="E15" s="2">
        <v>122.7</v>
      </c>
    </row>
    <row r="16" spans="1:14" x14ac:dyDescent="0.35">
      <c r="A16" s="2" t="s">
        <v>12</v>
      </c>
      <c r="B16" s="2" t="s">
        <v>170</v>
      </c>
      <c r="C16" s="2">
        <v>221</v>
      </c>
      <c r="D16" s="2">
        <v>211.9</v>
      </c>
      <c r="E16" s="2">
        <v>218</v>
      </c>
    </row>
    <row r="17" spans="1:5" x14ac:dyDescent="0.35">
      <c r="A17" s="2" t="s">
        <v>13</v>
      </c>
      <c r="B17" s="2" t="s">
        <v>170</v>
      </c>
      <c r="C17" s="2">
        <v>178.7</v>
      </c>
      <c r="D17" s="2">
        <v>165.9</v>
      </c>
      <c r="E17" s="2">
        <v>173.4</v>
      </c>
    </row>
    <row r="18" spans="1:5" x14ac:dyDescent="0.35">
      <c r="A18" s="2" t="s">
        <v>14</v>
      </c>
      <c r="B18" s="2" t="s">
        <v>170</v>
      </c>
      <c r="C18" s="2">
        <v>191.1</v>
      </c>
      <c r="D18" s="2">
        <v>197.7</v>
      </c>
      <c r="E18" s="2">
        <v>194.2</v>
      </c>
    </row>
    <row r="19" spans="1:5" x14ac:dyDescent="0.35">
      <c r="A19" s="2" t="s">
        <v>15</v>
      </c>
      <c r="B19" s="2" t="s">
        <v>170</v>
      </c>
      <c r="C19" s="2">
        <v>176.8</v>
      </c>
      <c r="D19" s="2">
        <v>183.1</v>
      </c>
      <c r="E19" s="2">
        <v>179.1</v>
      </c>
    </row>
    <row r="20" spans="1:5" x14ac:dyDescent="0.35">
      <c r="A20" s="2" t="s">
        <v>16</v>
      </c>
      <c r="B20" s="2" t="s">
        <v>171</v>
      </c>
      <c r="C20" s="2">
        <v>199.9</v>
      </c>
      <c r="D20" s="2">
        <v>204.2</v>
      </c>
      <c r="E20" s="2">
        <v>201</v>
      </c>
    </row>
    <row r="21" spans="1:5" x14ac:dyDescent="0.35">
      <c r="A21" s="2" t="s">
        <v>17</v>
      </c>
      <c r="B21" s="2" t="s">
        <v>17</v>
      </c>
      <c r="C21" s="2">
        <v>191.2</v>
      </c>
      <c r="D21" s="2">
        <v>181.3</v>
      </c>
      <c r="E21" s="2">
        <v>187.3</v>
      </c>
    </row>
    <row r="22" spans="1:5" x14ac:dyDescent="0.35">
      <c r="A22" s="2" t="s">
        <v>18</v>
      </c>
      <c r="B22" s="2" t="s">
        <v>17</v>
      </c>
      <c r="C22" s="2">
        <v>187.9</v>
      </c>
      <c r="D22" s="2">
        <v>168.1</v>
      </c>
      <c r="E22" s="2">
        <v>179.7</v>
      </c>
    </row>
    <row r="23" spans="1:5" x14ac:dyDescent="0.35">
      <c r="A23" s="2" t="s">
        <v>19</v>
      </c>
      <c r="B23" s="2" t="s">
        <v>17</v>
      </c>
      <c r="C23" s="2">
        <v>190.8</v>
      </c>
      <c r="D23" s="2">
        <v>179.3</v>
      </c>
      <c r="E23" s="2">
        <v>186.2</v>
      </c>
    </row>
    <row r="24" spans="1:5" x14ac:dyDescent="0.35">
      <c r="A24" s="2" t="s">
        <v>20</v>
      </c>
      <c r="B24" s="2" t="s">
        <v>20</v>
      </c>
      <c r="C24" s="2" t="s">
        <v>139</v>
      </c>
      <c r="D24" s="2" t="s">
        <v>164</v>
      </c>
      <c r="E24" s="2" t="s">
        <v>164</v>
      </c>
    </row>
    <row r="25" spans="1:5" x14ac:dyDescent="0.35">
      <c r="A25" s="2" t="s">
        <v>21</v>
      </c>
      <c r="B25" s="2" t="s">
        <v>172</v>
      </c>
      <c r="C25" s="2">
        <v>182.5</v>
      </c>
      <c r="D25" s="2">
        <v>183.4</v>
      </c>
      <c r="E25" s="2">
        <v>182.8</v>
      </c>
    </row>
    <row r="26" spans="1:5" x14ac:dyDescent="0.35">
      <c r="A26" s="2" t="s">
        <v>22</v>
      </c>
      <c r="B26" s="2" t="s">
        <v>20</v>
      </c>
      <c r="C26" s="2">
        <v>179.8</v>
      </c>
      <c r="D26" s="2">
        <v>170.1</v>
      </c>
      <c r="E26" s="2">
        <v>175.2</v>
      </c>
    </row>
    <row r="27" spans="1:5" x14ac:dyDescent="0.35">
      <c r="A27" s="2" t="s">
        <v>23</v>
      </c>
      <c r="B27" s="2" t="s">
        <v>23</v>
      </c>
      <c r="C27" s="2">
        <v>187.8</v>
      </c>
      <c r="D27" s="2">
        <v>182.2</v>
      </c>
      <c r="E27" s="2">
        <v>185.7</v>
      </c>
    </row>
    <row r="28" spans="1:5" x14ac:dyDescent="0.35">
      <c r="A28" s="2" t="s">
        <v>24</v>
      </c>
      <c r="B28" s="2" t="s">
        <v>171</v>
      </c>
      <c r="C28" s="2">
        <v>169.7</v>
      </c>
      <c r="D28" s="2">
        <v>160.4</v>
      </c>
      <c r="E28" s="2">
        <v>164.8</v>
      </c>
    </row>
    <row r="29" spans="1:5" x14ac:dyDescent="0.35">
      <c r="A29" s="2" t="s">
        <v>25</v>
      </c>
      <c r="B29" s="2" t="s">
        <v>171</v>
      </c>
      <c r="C29" s="2">
        <v>173.8</v>
      </c>
      <c r="D29" s="2">
        <v>169.2</v>
      </c>
      <c r="E29" s="2">
        <v>171.2</v>
      </c>
    </row>
    <row r="30" spans="1:5" x14ac:dyDescent="0.35">
      <c r="A30" s="2" t="s">
        <v>26</v>
      </c>
      <c r="B30" s="2" t="s">
        <v>171</v>
      </c>
      <c r="C30" s="2">
        <v>180.3</v>
      </c>
      <c r="D30" s="2">
        <v>174.8</v>
      </c>
      <c r="E30" s="2">
        <v>177.1</v>
      </c>
    </row>
    <row r="31" spans="1:5" x14ac:dyDescent="0.35">
      <c r="A31" s="2" t="s">
        <v>27</v>
      </c>
      <c r="B31" s="2" t="s">
        <v>171</v>
      </c>
      <c r="C31" s="2">
        <v>184.9</v>
      </c>
      <c r="D31" s="2">
        <v>185.6</v>
      </c>
      <c r="E31" s="2">
        <v>185.2</v>
      </c>
    </row>
    <row r="32" spans="1:5" x14ac:dyDescent="0.35">
      <c r="A32" s="2" t="s">
        <v>28</v>
      </c>
      <c r="B32" s="2" t="s">
        <v>171</v>
      </c>
      <c r="C32" s="2">
        <v>179.5</v>
      </c>
      <c r="D32" s="2">
        <v>171.6</v>
      </c>
      <c r="E32" s="2">
        <v>175.7</v>
      </c>
    </row>
    <row r="34" spans="1:1" x14ac:dyDescent="0.35">
      <c r="A34" s="4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CCDD-C3B8-4BAD-BFCA-45A932846C21}">
  <sheetPr>
    <tabColor rgb="FF92D050"/>
  </sheetPr>
  <dimension ref="A1:AD57"/>
  <sheetViews>
    <sheetView showGridLines="0" zoomScale="59" zoomScaleNormal="59" workbookViewId="0">
      <selection activeCell="Z7" sqref="Z7"/>
    </sheetView>
  </sheetViews>
  <sheetFormatPr defaultRowHeight="14.5" x14ac:dyDescent="0.35"/>
  <cols>
    <col min="4" max="4" width="18.54296875" customWidth="1"/>
    <col min="7" max="7" width="9.81640625" bestFit="1" customWidth="1"/>
    <col min="9" max="9" width="20.54296875" customWidth="1"/>
    <col min="14" max="14" width="27.54296875" bestFit="1" customWidth="1"/>
    <col min="20" max="20" width="27.54296875" bestFit="1" customWidth="1"/>
    <col min="25" max="25" width="27.54296875" bestFit="1" customWidth="1"/>
    <col min="30" max="30" width="27.54296875" bestFit="1" customWidth="1"/>
  </cols>
  <sheetData>
    <row r="1" spans="1:16" x14ac:dyDescent="0.35">
      <c r="A1" s="7" t="s">
        <v>193</v>
      </c>
    </row>
    <row r="2" spans="1:16" x14ac:dyDescent="0.35">
      <c r="A2" s="7" t="s">
        <v>194</v>
      </c>
    </row>
    <row r="3" spans="1:16" x14ac:dyDescent="0.35">
      <c r="A3" s="4" t="s">
        <v>185</v>
      </c>
      <c r="G3" s="4" t="s">
        <v>30</v>
      </c>
      <c r="M3" s="4" t="s">
        <v>33</v>
      </c>
    </row>
    <row r="4" spans="1:16" ht="15" x14ac:dyDescent="0.35">
      <c r="A4" s="1" t="s">
        <v>180</v>
      </c>
      <c r="B4" s="1" t="s">
        <v>181</v>
      </c>
      <c r="C4" s="1" t="s">
        <v>182</v>
      </c>
      <c r="D4" s="1" t="s">
        <v>183</v>
      </c>
      <c r="G4" s="1" t="s">
        <v>186</v>
      </c>
      <c r="H4" s="1" t="s">
        <v>181</v>
      </c>
      <c r="I4" s="1" t="s">
        <v>182</v>
      </c>
      <c r="J4" s="1" t="s">
        <v>187</v>
      </c>
      <c r="M4" s="1" t="s">
        <v>186</v>
      </c>
      <c r="N4" s="1" t="s">
        <v>181</v>
      </c>
      <c r="O4" s="1" t="s">
        <v>182</v>
      </c>
      <c r="P4" s="1" t="s">
        <v>187</v>
      </c>
    </row>
    <row r="5" spans="1:16" x14ac:dyDescent="0.35">
      <c r="A5" s="39">
        <v>2017</v>
      </c>
      <c r="B5" s="79">
        <v>130.30000000000001</v>
      </c>
      <c r="C5" s="80">
        <v>137.19999999999999</v>
      </c>
      <c r="D5" s="78">
        <f>(C5-B5)/B5</f>
        <v>5.295471987720627E-2</v>
      </c>
      <c r="G5" s="39">
        <v>2017</v>
      </c>
      <c r="H5" s="2">
        <v>132.4</v>
      </c>
      <c r="I5" s="2">
        <v>139.80000000000001</v>
      </c>
      <c r="J5" s="78">
        <f>(I5-H5)/H5</f>
        <v>5.5891238670694905E-2</v>
      </c>
      <c r="M5" s="39">
        <v>2017</v>
      </c>
      <c r="N5" s="2">
        <v>127.8</v>
      </c>
      <c r="O5" s="2">
        <v>134.1</v>
      </c>
      <c r="P5" s="78">
        <f>(O5-N5)/N5</f>
        <v>4.92957746478873E-2</v>
      </c>
    </row>
    <row r="6" spans="1:16" x14ac:dyDescent="0.35">
      <c r="A6" s="39">
        <f>A5+1</f>
        <v>2018</v>
      </c>
      <c r="B6" s="79">
        <v>136.9</v>
      </c>
      <c r="C6" s="80">
        <v>140.1</v>
      </c>
      <c r="D6" s="78">
        <f t="shared" ref="D6:D10" si="0">(C6-B6)/B6</f>
        <v>2.3374726077428697E-2</v>
      </c>
      <c r="G6" s="39">
        <f>G5+1</f>
        <v>2018</v>
      </c>
      <c r="H6" s="2">
        <v>139.30000000000001</v>
      </c>
      <c r="I6" s="2">
        <v>141.9</v>
      </c>
      <c r="J6" s="78">
        <f t="shared" ref="J6:J10" si="1">(I6-H6)/H6</f>
        <v>1.8664752333094E-2</v>
      </c>
      <c r="M6" s="39">
        <f>M5+1</f>
        <v>2018</v>
      </c>
      <c r="N6" s="2">
        <v>134.1</v>
      </c>
      <c r="O6" s="2">
        <v>138</v>
      </c>
      <c r="P6" s="78">
        <f t="shared" ref="P6:P10" si="2">(O6-N6)/N6</f>
        <v>2.9082774049217046E-2</v>
      </c>
    </row>
    <row r="7" spans="1:16" x14ac:dyDescent="0.35">
      <c r="A7" s="39">
        <f t="shared" ref="A7:A11" si="3">A6+1</f>
        <v>2019</v>
      </c>
      <c r="B7" s="79">
        <v>139.6</v>
      </c>
      <c r="C7" s="80">
        <v>150.4</v>
      </c>
      <c r="D7" s="81">
        <f t="shared" si="0"/>
        <v>7.7363896848137617E-2</v>
      </c>
      <c r="G7" s="39">
        <f t="shared" ref="G7:G11" si="4">G6+1</f>
        <v>2019</v>
      </c>
      <c r="H7" s="2">
        <v>141</v>
      </c>
      <c r="I7" s="2">
        <v>152.30000000000001</v>
      </c>
      <c r="J7" s="78">
        <f t="shared" si="1"/>
        <v>8.014184397163128E-2</v>
      </c>
      <c r="M7" s="39">
        <f t="shared" ref="M7:M11" si="5">M6+1</f>
        <v>2019</v>
      </c>
      <c r="N7" s="2">
        <v>138</v>
      </c>
      <c r="O7" s="2">
        <v>148.30000000000001</v>
      </c>
      <c r="P7" s="78">
        <f t="shared" si="2"/>
        <v>7.4637681159420377E-2</v>
      </c>
    </row>
    <row r="8" spans="1:16" x14ac:dyDescent="0.35">
      <c r="A8" s="39">
        <f t="shared" si="3"/>
        <v>2020</v>
      </c>
      <c r="B8" s="79">
        <v>150.19999999999999</v>
      </c>
      <c r="C8" s="80">
        <v>158.9</v>
      </c>
      <c r="D8" s="78">
        <f t="shared" si="0"/>
        <v>5.7922769640479481E-2</v>
      </c>
      <c r="G8" s="39">
        <f t="shared" si="4"/>
        <v>2020</v>
      </c>
      <c r="H8" s="2">
        <v>151.9</v>
      </c>
      <c r="I8" s="2">
        <v>160.69999999999999</v>
      </c>
      <c r="J8" s="78">
        <f t="shared" si="1"/>
        <v>5.7932850559578558E-2</v>
      </c>
      <c r="M8" s="39">
        <f t="shared" si="5"/>
        <v>2020</v>
      </c>
      <c r="N8" s="2">
        <v>148.19999999999999</v>
      </c>
      <c r="O8" s="2">
        <v>156.9</v>
      </c>
      <c r="P8" s="78">
        <f t="shared" si="2"/>
        <v>5.8704453441295663E-2</v>
      </c>
    </row>
    <row r="9" spans="1:16" x14ac:dyDescent="0.35">
      <c r="A9" s="39">
        <f t="shared" si="3"/>
        <v>2021</v>
      </c>
      <c r="B9" s="79">
        <v>157.30000000000001</v>
      </c>
      <c r="C9" s="80">
        <v>166.2</v>
      </c>
      <c r="D9" s="78">
        <f t="shared" si="0"/>
        <v>5.657978385251098E-2</v>
      </c>
      <c r="G9" s="39">
        <f t="shared" si="4"/>
        <v>2021</v>
      </c>
      <c r="H9" s="2">
        <v>158.5</v>
      </c>
      <c r="I9" s="2">
        <v>167</v>
      </c>
      <c r="J9" s="78">
        <f t="shared" si="1"/>
        <v>5.362776025236593E-2</v>
      </c>
      <c r="M9" s="39">
        <f t="shared" si="5"/>
        <v>2021</v>
      </c>
      <c r="N9" s="2">
        <v>156</v>
      </c>
      <c r="O9" s="2">
        <v>165.2</v>
      </c>
      <c r="P9" s="78">
        <f t="shared" si="2"/>
        <v>5.8974358974358904E-2</v>
      </c>
    </row>
    <row r="10" spans="1:16" x14ac:dyDescent="0.35">
      <c r="A10" s="39">
        <f>A9+1</f>
        <v>2022</v>
      </c>
      <c r="B10" s="79">
        <v>165.7</v>
      </c>
      <c r="C10" s="80">
        <v>175.7</v>
      </c>
      <c r="D10" s="78">
        <f t="shared" si="0"/>
        <v>6.0350030175015092E-2</v>
      </c>
      <c r="G10" s="39">
        <f>G9+1</f>
        <v>2022</v>
      </c>
      <c r="H10" s="2">
        <v>166.4</v>
      </c>
      <c r="I10" s="2">
        <v>177.1</v>
      </c>
      <c r="J10" s="78">
        <f t="shared" si="1"/>
        <v>6.430288461538454E-2</v>
      </c>
      <c r="M10" s="39">
        <f>M9+1</f>
        <v>2022</v>
      </c>
      <c r="N10" s="2">
        <v>165</v>
      </c>
      <c r="O10" s="2">
        <v>174.1</v>
      </c>
      <c r="P10" s="78">
        <f t="shared" si="2"/>
        <v>5.5151515151515118E-2</v>
      </c>
    </row>
    <row r="11" spans="1:16" x14ac:dyDescent="0.35">
      <c r="A11" s="39">
        <f t="shared" si="3"/>
        <v>2023</v>
      </c>
      <c r="B11" s="79">
        <v>176.5</v>
      </c>
      <c r="C11" s="39"/>
      <c r="D11" s="39" t="s">
        <v>184</v>
      </c>
      <c r="G11" s="39">
        <f t="shared" si="4"/>
        <v>2023</v>
      </c>
      <c r="H11" s="2">
        <v>177.8</v>
      </c>
      <c r="I11" s="39"/>
      <c r="J11" s="39" t="s">
        <v>184</v>
      </c>
      <c r="M11" s="39">
        <f t="shared" si="5"/>
        <v>2023</v>
      </c>
      <c r="N11" s="2">
        <v>174.9</v>
      </c>
      <c r="O11" s="39"/>
      <c r="P11" s="39" t="s">
        <v>188</v>
      </c>
    </row>
    <row r="13" spans="1:16" x14ac:dyDescent="0.35">
      <c r="A13" s="21" t="s">
        <v>313</v>
      </c>
    </row>
    <row r="14" spans="1:16" x14ac:dyDescent="0.35">
      <c r="A14" s="7"/>
    </row>
    <row r="15" spans="1:16" x14ac:dyDescent="0.35">
      <c r="A15" s="7"/>
    </row>
    <row r="16" spans="1:16" x14ac:dyDescent="0.35">
      <c r="A16" s="7"/>
    </row>
    <row r="17" spans="1:30" x14ac:dyDescent="0.35">
      <c r="A17" s="7" t="s">
        <v>195</v>
      </c>
    </row>
    <row r="18" spans="1:30" x14ac:dyDescent="0.35">
      <c r="A18" s="4" t="s">
        <v>35</v>
      </c>
    </row>
    <row r="19" spans="1:30" x14ac:dyDescent="0.35">
      <c r="A19" s="4" t="s">
        <v>189</v>
      </c>
    </row>
    <row r="20" spans="1:30" x14ac:dyDescent="0.35">
      <c r="A20" s="42" t="s">
        <v>170</v>
      </c>
      <c r="F20" s="42" t="s">
        <v>28</v>
      </c>
      <c r="K20" s="42" t="s">
        <v>17</v>
      </c>
      <c r="Q20" s="42" t="s">
        <v>20</v>
      </c>
      <c r="V20" s="42" t="s">
        <v>172</v>
      </c>
      <c r="AA20" s="42" t="s">
        <v>23</v>
      </c>
    </row>
    <row r="21" spans="1:30" ht="15" x14ac:dyDescent="0.35">
      <c r="A21" s="1" t="s">
        <v>186</v>
      </c>
      <c r="B21" s="1" t="s">
        <v>181</v>
      </c>
      <c r="C21" s="1" t="s">
        <v>182</v>
      </c>
      <c r="D21" s="1" t="s">
        <v>187</v>
      </c>
      <c r="E21" s="4"/>
      <c r="F21" s="1" t="s">
        <v>186</v>
      </c>
      <c r="G21" s="1" t="s">
        <v>181</v>
      </c>
      <c r="H21" s="1" t="s">
        <v>182</v>
      </c>
      <c r="I21" s="1" t="s">
        <v>187</v>
      </c>
      <c r="K21" s="1" t="s">
        <v>186</v>
      </c>
      <c r="L21" s="1" t="s">
        <v>181</v>
      </c>
      <c r="M21" s="1" t="s">
        <v>182</v>
      </c>
      <c r="N21" s="1" t="s">
        <v>187</v>
      </c>
      <c r="Q21" s="1" t="s">
        <v>186</v>
      </c>
      <c r="R21" s="1" t="s">
        <v>181</v>
      </c>
      <c r="S21" s="1" t="s">
        <v>182</v>
      </c>
      <c r="T21" s="1" t="s">
        <v>187</v>
      </c>
      <c r="V21" s="1" t="s">
        <v>186</v>
      </c>
      <c r="W21" s="1" t="s">
        <v>181</v>
      </c>
      <c r="X21" s="1" t="s">
        <v>182</v>
      </c>
      <c r="Y21" s="1" t="s">
        <v>187</v>
      </c>
      <c r="AA21" s="1" t="s">
        <v>186</v>
      </c>
      <c r="AB21" s="1" t="s">
        <v>181</v>
      </c>
      <c r="AC21" s="1" t="s">
        <v>182</v>
      </c>
      <c r="AD21" s="1" t="s">
        <v>187</v>
      </c>
    </row>
    <row r="22" spans="1:30" x14ac:dyDescent="0.35">
      <c r="A22" s="39">
        <v>2017</v>
      </c>
      <c r="B22" s="39">
        <f>'Raw Data'!D148+'Raw Data'!E148+'Raw Data'!F148+'Raw Data'!G148++'Raw Data'!H148+'Raw Data'!I148+'Raw Data'!J148+'Raw Data'!K148+'Raw Data'!L148+'Raw Data'!M148+'Raw Data'!N148+'Raw Data'!O148+'Raw Data'!P148</f>
        <v>1727.2999999999995</v>
      </c>
      <c r="C22" s="39">
        <f>SUM('Raw Data'!D181:P181)</f>
        <v>1794.9999999999998</v>
      </c>
      <c r="D22" s="78">
        <f>(C22-B22)/B22</f>
        <v>3.9194117987610889E-2</v>
      </c>
      <c r="E22" s="6"/>
      <c r="F22" s="39">
        <v>2017</v>
      </c>
      <c r="G22" s="82">
        <f>'Raw Data'!Q148+'Raw Data'!Y148+'Raw Data'!Z148+'Raw Data'!AA148+'Raw Data'!AB148+'Raw Data'!AC148</f>
        <v>764.4</v>
      </c>
      <c r="H22" s="82">
        <f>'Raw Data'!Q181+'Raw Data'!Y181+'Raw Data'!Z181+'Raw Data'!AA181+'Raw Data'!AB181+'Raw Data'!AC181</f>
        <v>795.30000000000007</v>
      </c>
      <c r="I22" s="78">
        <f>(H22-G22)/G22</f>
        <v>4.04238618524334E-2</v>
      </c>
      <c r="K22" s="39">
        <v>2017</v>
      </c>
      <c r="L22" s="39">
        <f>SUM('Raw Data'!R148:T148)</f>
        <v>402.4</v>
      </c>
      <c r="M22" s="39">
        <f>SUM('Raw Data'!R181:T181)</f>
        <v>420.2</v>
      </c>
      <c r="N22" s="78">
        <f>(M22-L22)/L22</f>
        <v>4.4234592445328062E-2</v>
      </c>
      <c r="Q22" s="39">
        <v>2017</v>
      </c>
      <c r="R22" s="39">
        <f>'Raw Data'!U148+'Raw Data'!W148</f>
        <v>259</v>
      </c>
      <c r="S22" s="39">
        <f>'Raw Data'!U181+'Raw Data'!W181</f>
        <v>273.79999999999995</v>
      </c>
      <c r="T22" s="78">
        <f>(S22-R22)/R22</f>
        <v>5.7142857142856968E-2</v>
      </c>
      <c r="V22" s="39">
        <v>2017</v>
      </c>
      <c r="W22" s="39">
        <f>'Raw Data'!V148</f>
        <v>126.8</v>
      </c>
      <c r="X22" s="39">
        <f>'Raw Data'!V181</f>
        <v>136.6</v>
      </c>
      <c r="Y22" s="78">
        <f>(X22-W22)/W22</f>
        <v>7.728706624605676E-2</v>
      </c>
      <c r="AA22" s="39">
        <v>2017</v>
      </c>
      <c r="AB22" s="39">
        <f>'Raw Data'!X148</f>
        <v>127.1</v>
      </c>
      <c r="AC22" s="39">
        <f>'Raw Data'!X181</f>
        <v>133.1</v>
      </c>
      <c r="AD22" s="78">
        <f>(AC22-AB22)/AB22</f>
        <v>4.7206923682140051E-2</v>
      </c>
    </row>
    <row r="23" spans="1:30" x14ac:dyDescent="0.35">
      <c r="A23" s="39">
        <f>A22+1</f>
        <v>2018</v>
      </c>
      <c r="B23" s="39">
        <f>'Raw Data'!D184+'Raw Data'!E184+'Raw Data'!F184+'Raw Data'!G184+'Raw Data'!H184+'Raw Data'!I184+'Raw Data'!J184+'Raw Data'!K184+'Raw Data'!L184+'Raw Data'!M184+'Raw Data'!N184+'Raw Data'!O184+'Raw Data'!P184</f>
        <v>1779.9</v>
      </c>
      <c r="C23" s="39">
        <f>SUM('Raw Data'!D217:P217)</f>
        <v>1762.7999999999997</v>
      </c>
      <c r="D23" s="78">
        <f t="shared" ref="D23:D27" si="6">(C23-B23)/B23</f>
        <v>-9.607281307938852E-3</v>
      </c>
      <c r="E23" s="6"/>
      <c r="F23" s="39">
        <f>F22+1</f>
        <v>2018</v>
      </c>
      <c r="G23" s="82">
        <f>'Raw Data'!Q184+'Raw Data'!Y184+'Raw Data'!Z184+'Raw Data'!AA184+'Raw Data'!AB184+'Raw Data'!AC184</f>
        <v>799.1</v>
      </c>
      <c r="H23" s="82">
        <f>'Raw Data'!Q217+'Raw Data'!Y217+'Raw Data'!Z217+'Raw Data'!AA217+'Raw Data'!AB217+'Raw Data'!AC217</f>
        <v>842.5</v>
      </c>
      <c r="I23" s="78">
        <f t="shared" ref="I23:I27" si="7">(H23-G23)/G23</f>
        <v>5.4311099987485893E-2</v>
      </c>
      <c r="K23" s="39">
        <f>K22+1</f>
        <v>2018</v>
      </c>
      <c r="L23" s="39">
        <f>SUM('Raw Data'!R184:T184)</f>
        <v>421.3</v>
      </c>
      <c r="M23" s="39">
        <f>SUM('Raw Data'!R217:T217)</f>
        <v>434.3</v>
      </c>
      <c r="N23" s="78">
        <f t="shared" ref="N23:N27" si="8">(M23-L23)/L23</f>
        <v>3.0856871587942085E-2</v>
      </c>
      <c r="Q23" s="39">
        <f>Q22+1</f>
        <v>2018</v>
      </c>
      <c r="R23" s="39">
        <f>'Raw Data'!U184+'Raw Data'!W184</f>
        <v>275.3</v>
      </c>
      <c r="S23" s="39">
        <f>'Raw Data'!U217+'Raw Data'!W217</f>
        <v>289.7</v>
      </c>
      <c r="T23" s="78">
        <f t="shared" ref="T23:T27" si="9">(S23-R23)/R23</f>
        <v>5.2306574645840813E-2</v>
      </c>
      <c r="V23" s="39">
        <f>V22+1</f>
        <v>2018</v>
      </c>
      <c r="W23" s="39">
        <f>'Raw Data'!V184</f>
        <v>136.6</v>
      </c>
      <c r="X23" s="39">
        <f>'Raw Data'!V217</f>
        <v>142.69999999999999</v>
      </c>
      <c r="Y23" s="78">
        <f t="shared" ref="Y23:Y27" si="10">(X23-W23)/W23</f>
        <v>4.4655929721815479E-2</v>
      </c>
      <c r="AA23" s="39">
        <f>AA22+1</f>
        <v>2018</v>
      </c>
      <c r="AB23" s="39">
        <f>'Raw Data'!X184</f>
        <v>133.30000000000001</v>
      </c>
      <c r="AC23" s="39">
        <f>'Raw Data'!X217</f>
        <v>144.9</v>
      </c>
      <c r="AD23" s="78">
        <f t="shared" ref="AD23:AD27" si="11">(AC23-AB23)/AB23</f>
        <v>8.7021755438859663E-2</v>
      </c>
    </row>
    <row r="24" spans="1:30" x14ac:dyDescent="0.35">
      <c r="A24" s="39">
        <f t="shared" ref="A24:A28" si="12">A23+1</f>
        <v>2019</v>
      </c>
      <c r="B24" s="39">
        <f>'Raw Data'!D220+'Raw Data'!E220+'Raw Data'!F220+'Raw Data'!G220+'Raw Data'!H220+'Raw Data'!I220+'Raw Data'!J220+'Raw Data'!K220+'Raw Data'!L220+'Raw Data'!M220+'Raw Data'!N220+'Raw Data'!O220+'Raw Data'!P220</f>
        <v>1753.3999999999999</v>
      </c>
      <c r="C24" s="39">
        <f>SUM('Raw Data'!D250:P250)</f>
        <v>1946.1000000000001</v>
      </c>
      <c r="D24" s="78">
        <f t="shared" si="6"/>
        <v>0.10990076422949714</v>
      </c>
      <c r="E24" s="6"/>
      <c r="F24" s="39">
        <f t="shared" ref="F24:F28" si="13">F23+1</f>
        <v>2019</v>
      </c>
      <c r="G24" s="82">
        <f>'Raw Data'!Q220+'Raw Data'!Y220+'Raw Data'!Z220+'Raw Data'!AA220+'Raw Data'!AB220+'Raw Data'!AC220</f>
        <v>843.1</v>
      </c>
      <c r="H24" s="82">
        <f>'Raw Data'!Q250+'Raw Data'!Y250+'Raw Data'!Z250+'Raw Data'!AA250+'Raw Data'!AB250+'Raw Data'!AC250</f>
        <v>879.19999999999993</v>
      </c>
      <c r="I24" s="78">
        <f t="shared" si="7"/>
        <v>4.2818171035464252E-2</v>
      </c>
      <c r="K24" s="39">
        <f t="shared" ref="K24:K26" si="14">K23+1</f>
        <v>2019</v>
      </c>
      <c r="L24" s="39">
        <f>SUM('Raw Data'!R220:T220)</f>
        <v>433</v>
      </c>
      <c r="M24" s="39">
        <f>SUM('Raw Data'!R250:T250)</f>
        <v>440.6</v>
      </c>
      <c r="N24" s="78">
        <f t="shared" si="8"/>
        <v>1.7551963048498896E-2</v>
      </c>
      <c r="Q24" s="39">
        <f t="shared" ref="Q24:Q26" si="15">Q23+1</f>
        <v>2019</v>
      </c>
      <c r="R24" s="39">
        <f>'Raw Data'!U220+'Raw Data'!W220</f>
        <v>291.29999999999995</v>
      </c>
      <c r="S24" s="39">
        <f>'Raw Data'!U250+'Raw Data'!W250</f>
        <v>298.60000000000002</v>
      </c>
      <c r="T24" s="78">
        <f t="shared" si="9"/>
        <v>2.5060075523515513E-2</v>
      </c>
      <c r="V24" s="39">
        <f t="shared" ref="V24:V26" si="16">V23+1</f>
        <v>2019</v>
      </c>
      <c r="W24" s="39">
        <f>'Raw Data'!V220</f>
        <v>139.5</v>
      </c>
      <c r="X24" s="39">
        <f>'Raw Data'!V250</f>
        <v>143.69999999999999</v>
      </c>
      <c r="Y24" s="78">
        <f t="shared" si="10"/>
        <v>3.0107526881720349E-2</v>
      </c>
      <c r="AA24" s="39">
        <f t="shared" ref="AA24:AA26" si="17">AA23+1</f>
        <v>2019</v>
      </c>
      <c r="AB24" s="39">
        <f>'Raw Data'!X220</f>
        <v>145.1</v>
      </c>
      <c r="AC24" s="39">
        <f>'Raw Data'!X250</f>
        <v>150.4</v>
      </c>
      <c r="AD24" s="78">
        <f t="shared" si="11"/>
        <v>3.6526533425224064E-2</v>
      </c>
    </row>
    <row r="25" spans="1:30" x14ac:dyDescent="0.35">
      <c r="A25" s="39">
        <f t="shared" si="12"/>
        <v>2020</v>
      </c>
      <c r="B25" s="39">
        <f>'Raw Data'!D253+'Raw Data'!E253+'Raw Data'!F253+'Raw Data'!G253+'Raw Data'!H253+'Raw Data'!I253+'Raw Data'!J253+'Raw Data'!K253+'Raw Data'!L253+'Raw Data'!M253+'Raw Data'!N253+'Raw Data'!O253+'Raw Data'!P253</f>
        <v>1940.3999999999999</v>
      </c>
      <c r="C25" s="39">
        <f>SUM('Raw Data'!D286:P286)</f>
        <v>2109.1</v>
      </c>
      <c r="D25" s="78">
        <f t="shared" si="6"/>
        <v>8.6940836940836971E-2</v>
      </c>
      <c r="E25" s="6"/>
      <c r="F25" s="39">
        <f t="shared" si="13"/>
        <v>2020</v>
      </c>
      <c r="G25" s="82">
        <f>'Raw Data'!Q253+'Raw Data'!Y253+'Raw Data'!Z253+'Raw Data'!AA253+'Raw Data'!AB253+'Raw Data'!AC253</f>
        <v>884.69999999999993</v>
      </c>
      <c r="H25" s="82">
        <f>'Raw Data'!Q286+'Raw Data'!Y286+'Raw Data'!Z286+'Raw Data'!AA286+'Raw Data'!AB286+'Raw Data'!AC286</f>
        <v>942.3</v>
      </c>
      <c r="I25" s="78">
        <f t="shared" si="7"/>
        <v>6.5106815869786394E-2</v>
      </c>
      <c r="K25" s="39">
        <f t="shared" si="14"/>
        <v>2020</v>
      </c>
      <c r="L25" s="39">
        <f>SUM('Raw Data'!R253:T253)</f>
        <v>441.2</v>
      </c>
      <c r="M25" s="39">
        <f>SUM('Raw Data'!R286:T286)</f>
        <v>454</v>
      </c>
      <c r="N25" s="78">
        <f t="shared" si="8"/>
        <v>2.9011786038077997E-2</v>
      </c>
      <c r="Q25" s="39">
        <f t="shared" si="15"/>
        <v>2020</v>
      </c>
      <c r="R25" s="39">
        <f>'Raw Data'!U253+'Raw Data'!W253</f>
        <v>300.10000000000002</v>
      </c>
      <c r="S25" s="39">
        <f>'Raw Data'!U286+'Raw Data'!W286</f>
        <v>308.10000000000002</v>
      </c>
      <c r="T25" s="78">
        <f t="shared" si="9"/>
        <v>2.6657780739753414E-2</v>
      </c>
      <c r="V25" s="39">
        <f t="shared" si="16"/>
        <v>2020</v>
      </c>
      <c r="W25" s="39">
        <f>'Raw Data'!V253</f>
        <v>144.6</v>
      </c>
      <c r="X25" s="39">
        <f>'Raw Data'!V286</f>
        <v>144.6</v>
      </c>
      <c r="Y25" s="78">
        <f t="shared" si="10"/>
        <v>0</v>
      </c>
      <c r="AA25" s="39">
        <f t="shared" si="17"/>
        <v>2020</v>
      </c>
      <c r="AB25" s="39">
        <f>'Raw Data'!X253</f>
        <v>151.19999999999999</v>
      </c>
      <c r="AC25" s="39">
        <f>'Raw Data'!X286</f>
        <v>158.30000000000001</v>
      </c>
      <c r="AD25" s="78">
        <f t="shared" si="11"/>
        <v>4.6957671957672115E-2</v>
      </c>
    </row>
    <row r="26" spans="1:30" x14ac:dyDescent="0.35">
      <c r="A26" s="39">
        <f t="shared" si="12"/>
        <v>2021</v>
      </c>
      <c r="B26" s="39">
        <f>'Raw Data'!D289+'Raw Data'!E289+'Raw Data'!F289+'Raw Data'!G289+'Raw Data'!H289+'Raw Data'!I289+'Raw Data'!J289+'Raw Data'!K289+'Raw Data'!L289+'Raw Data'!M289+'Raw Data'!N289+'Raw Data'!O289+'Raw Data'!P289</f>
        <v>2076.5</v>
      </c>
      <c r="C26" s="39">
        <f>SUM('Raw Data'!D322:P322)</f>
        <v>2180.9</v>
      </c>
      <c r="D26" s="78">
        <f t="shared" si="6"/>
        <v>5.0276908259089856E-2</v>
      </c>
      <c r="E26" s="6"/>
      <c r="F26" s="39">
        <f t="shared" si="13"/>
        <v>2021</v>
      </c>
      <c r="G26" s="82">
        <f>'Raw Data'!Q289+'Raw Data'!Y289+'Raw Data'!Z289+'Raw Data'!AA289+'Raw Data'!AB289+'Raw Data'!AC289</f>
        <v>945.9</v>
      </c>
      <c r="H26" s="82">
        <f>'Raw Data'!Q322+'Raw Data'!Y322+'Raw Data'!Z322+'Raw Data'!AA322+'Raw Data'!AB322+'Raw Data'!AC322</f>
        <v>997.7</v>
      </c>
      <c r="I26" s="78">
        <f t="shared" si="7"/>
        <v>5.4762659900623817E-2</v>
      </c>
      <c r="K26" s="39">
        <f t="shared" si="14"/>
        <v>2021</v>
      </c>
      <c r="L26" s="39">
        <f>SUM('Raw Data'!R289:T289)</f>
        <v>455.8</v>
      </c>
      <c r="M26" s="39">
        <f>SUM('Raw Data'!R322:T322)</f>
        <v>494.2</v>
      </c>
      <c r="N26" s="78">
        <f t="shared" si="8"/>
        <v>8.4247476963580467E-2</v>
      </c>
      <c r="Q26" s="39">
        <f t="shared" si="15"/>
        <v>2021</v>
      </c>
      <c r="R26" s="39">
        <f>'Raw Data'!U289+'Raw Data'!W289</f>
        <v>307.7</v>
      </c>
      <c r="S26" s="39">
        <f>'Raw Data'!U322+'Raw Data'!W322</f>
        <v>323.60000000000002</v>
      </c>
      <c r="T26" s="78">
        <f t="shared" si="9"/>
        <v>5.1673708157296182E-2</v>
      </c>
      <c r="V26" s="39">
        <f t="shared" si="16"/>
        <v>2021</v>
      </c>
      <c r="W26" s="39">
        <f>'Raw Data'!V289</f>
        <v>147.9</v>
      </c>
      <c r="X26" s="39">
        <f>'Raw Data'!V322</f>
        <v>164.1</v>
      </c>
      <c r="Y26" s="78">
        <f t="shared" si="10"/>
        <v>0.10953346855983764</v>
      </c>
      <c r="AA26" s="39">
        <f t="shared" si="17"/>
        <v>2021</v>
      </c>
      <c r="AB26" s="39">
        <f>'Raw Data'!X289</f>
        <v>159.30000000000001</v>
      </c>
      <c r="AC26" s="39">
        <f>'Raw Data'!X322</f>
        <v>170.6</v>
      </c>
      <c r="AD26" s="78">
        <f t="shared" si="11"/>
        <v>7.0935342121782693E-2</v>
      </c>
    </row>
    <row r="27" spans="1:30" x14ac:dyDescent="0.35">
      <c r="A27" s="39">
        <f>A26+1</f>
        <v>2022</v>
      </c>
      <c r="B27" s="39">
        <f>'Raw Data'!D325+'Raw Data'!E325+'Raw Data'!F325+'Raw Data'!G325++'Raw Data'!H325+'Raw Data'!I325+'Raw Data'!J325+'Raw Data'!K325+'Raw Data'!L325+'Raw Data'!M325+'Raw Data'!N325+'Raw Data'!O325+'Raw Data'!P325</f>
        <v>2164.1999999999998</v>
      </c>
      <c r="C27" s="39">
        <f>SUM('Raw Data'!D358:P358)</f>
        <v>2283.4</v>
      </c>
      <c r="D27" s="78">
        <f t="shared" si="6"/>
        <v>5.5078088901210742E-2</v>
      </c>
      <c r="E27" s="6"/>
      <c r="F27" s="39">
        <f>F26+1</f>
        <v>2022</v>
      </c>
      <c r="G27" s="82">
        <f>'Raw Data'!Q325+'Raw Data'!Y325+'Raw Data'!Z325+'Raw Data'!AA325+'Raw Data'!AB325+'Raw Data'!AC325</f>
        <v>1000.3</v>
      </c>
      <c r="H27" s="82">
        <f>'Raw Data'!Q358+'Raw Data'!Y358+'Raw Data'!Z358+'Raw Data'!AA358+'Raw Data'!AB358+'Raw Data'!AC358</f>
        <v>1051.5</v>
      </c>
      <c r="I27" s="78">
        <f t="shared" si="7"/>
        <v>5.1184644606618063E-2</v>
      </c>
      <c r="K27" s="39">
        <f>K26+1</f>
        <v>2022</v>
      </c>
      <c r="L27" s="39">
        <f>SUM('Raw Data'!R325:T325)</f>
        <v>499.1</v>
      </c>
      <c r="M27" s="39">
        <f>SUM('Raw Data'!R358:T358)</f>
        <v>544</v>
      </c>
      <c r="N27" s="78">
        <f t="shared" si="8"/>
        <v>8.996193147665793E-2</v>
      </c>
      <c r="Q27" s="39">
        <f>Q26+1</f>
        <v>2022</v>
      </c>
      <c r="R27" s="39">
        <f>'Raw Data'!U325+'Raw Data'!W325</f>
        <v>325.60000000000002</v>
      </c>
      <c r="S27" s="39">
        <f>'Raw Data'!U358+'Raw Data'!W358</f>
        <v>342.79999999999995</v>
      </c>
      <c r="T27" s="78">
        <f t="shared" si="9"/>
        <v>5.282555282555261E-2</v>
      </c>
      <c r="V27" s="39">
        <f>V26+1</f>
        <v>2022</v>
      </c>
      <c r="W27" s="39">
        <f>'Raw Data'!V325</f>
        <v>164.2</v>
      </c>
      <c r="X27" s="39">
        <f>'Raw Data'!V358</f>
        <v>182</v>
      </c>
      <c r="Y27" s="78">
        <f t="shared" si="10"/>
        <v>0.1084043848964678</v>
      </c>
      <c r="AA27" s="39">
        <f>AA26+1</f>
        <v>2022</v>
      </c>
      <c r="AB27" s="39">
        <f>'Raw Data'!X325</f>
        <v>171.4</v>
      </c>
      <c r="AC27" s="39">
        <f>'Raw Data'!X358</f>
        <v>181.1</v>
      </c>
      <c r="AD27" s="78">
        <f t="shared" si="11"/>
        <v>5.6592765460910084E-2</v>
      </c>
    </row>
    <row r="28" spans="1:30" x14ac:dyDescent="0.35">
      <c r="A28" s="39">
        <f t="shared" si="12"/>
        <v>2023</v>
      </c>
      <c r="B28" s="39">
        <f>'Raw Data'!D361+'Raw Data'!E361+'Raw Data'!F361+'Raw Data'!G361+'Raw Data'!H361+'Raw Data'!I361+'Raw Data'!J361+'Raw Data'!K361+'Raw Data'!L361+'Raw Data'!M361+'Raw Data'!N361+'Raw Data'!O361+'Raw Data'!P361</f>
        <v>2292.6999999999998</v>
      </c>
      <c r="C28" s="39"/>
      <c r="D28" s="39" t="s">
        <v>184</v>
      </c>
      <c r="F28" s="39">
        <f t="shared" si="13"/>
        <v>2023</v>
      </c>
      <c r="G28" s="39">
        <f>'Raw Data'!Q361+'Raw Data'!Y361+'Raw Data'!Z361+'Raw Data'!AA361+'Raw Data'!AB361+'Raw Data'!AC361</f>
        <v>1057</v>
      </c>
      <c r="H28" s="39"/>
      <c r="I28" s="39" t="s">
        <v>184</v>
      </c>
      <c r="K28" s="39">
        <f>K27+1</f>
        <v>2023</v>
      </c>
      <c r="L28" s="39">
        <f>SUM('Raw Data'!R361:T361)</f>
        <v>546.29999999999995</v>
      </c>
      <c r="M28" s="39"/>
      <c r="N28" s="39" t="s">
        <v>184</v>
      </c>
      <c r="Q28" s="39">
        <f>Q27+1</f>
        <v>2023</v>
      </c>
      <c r="R28" s="39">
        <f>'Raw Data'!U361+'Raw Data'!W361</f>
        <v>345</v>
      </c>
      <c r="S28" s="39"/>
      <c r="T28" s="39" t="s">
        <v>184</v>
      </c>
      <c r="V28" s="39">
        <f>V27+1</f>
        <v>2023</v>
      </c>
      <c r="W28" s="39">
        <f>'Raw Data'!V361</f>
        <v>182</v>
      </c>
      <c r="X28" s="39"/>
      <c r="Y28" s="39" t="s">
        <v>184</v>
      </c>
      <c r="AA28" s="39">
        <f>AA27+1</f>
        <v>2023</v>
      </c>
      <c r="AB28" s="39">
        <f>'Raw Data'!X361</f>
        <v>182.3</v>
      </c>
      <c r="AC28" s="39"/>
      <c r="AD28" s="39" t="s">
        <v>184</v>
      </c>
    </row>
    <row r="31" spans="1:30" x14ac:dyDescent="0.35">
      <c r="A31" s="4" t="s">
        <v>33</v>
      </c>
    </row>
    <row r="32" spans="1:30" x14ac:dyDescent="0.35">
      <c r="A32" s="4" t="s">
        <v>189</v>
      </c>
    </row>
    <row r="33" spans="1:30" x14ac:dyDescent="0.35">
      <c r="A33" s="44" t="s">
        <v>170</v>
      </c>
      <c r="F33" s="44" t="s">
        <v>28</v>
      </c>
      <c r="K33" s="44" t="s">
        <v>17</v>
      </c>
      <c r="Q33" s="44" t="s">
        <v>20</v>
      </c>
      <c r="V33" s="44" t="s">
        <v>172</v>
      </c>
      <c r="AA33" s="44" t="s">
        <v>23</v>
      </c>
    </row>
    <row r="34" spans="1:30" ht="15" x14ac:dyDescent="0.35">
      <c r="A34" s="1" t="s">
        <v>186</v>
      </c>
      <c r="B34" s="1" t="s">
        <v>181</v>
      </c>
      <c r="C34" s="1" t="s">
        <v>182</v>
      </c>
      <c r="D34" s="1" t="s">
        <v>187</v>
      </c>
      <c r="E34" s="4"/>
      <c r="F34" s="1" t="s">
        <v>186</v>
      </c>
      <c r="G34" s="1" t="s">
        <v>181</v>
      </c>
      <c r="H34" s="1" t="s">
        <v>182</v>
      </c>
      <c r="I34" s="1" t="s">
        <v>187</v>
      </c>
      <c r="K34" s="1" t="s">
        <v>186</v>
      </c>
      <c r="L34" s="1" t="s">
        <v>181</v>
      </c>
      <c r="M34" s="1" t="s">
        <v>182</v>
      </c>
      <c r="N34" s="1" t="s">
        <v>187</v>
      </c>
      <c r="Q34" s="1" t="s">
        <v>186</v>
      </c>
      <c r="R34" s="1" t="s">
        <v>181</v>
      </c>
      <c r="S34" s="1" t="s">
        <v>182</v>
      </c>
      <c r="T34" s="1" t="s">
        <v>187</v>
      </c>
      <c r="V34" s="1" t="s">
        <v>186</v>
      </c>
      <c r="W34" s="1" t="s">
        <v>181</v>
      </c>
      <c r="X34" s="1" t="s">
        <v>182</v>
      </c>
      <c r="Y34" s="1" t="s">
        <v>187</v>
      </c>
      <c r="AA34" s="1" t="s">
        <v>186</v>
      </c>
      <c r="AB34" s="1" t="s">
        <v>181</v>
      </c>
      <c r="AC34" s="1" t="s">
        <v>182</v>
      </c>
      <c r="AD34" s="1" t="s">
        <v>187</v>
      </c>
    </row>
    <row r="35" spans="1:30" x14ac:dyDescent="0.35">
      <c r="A35" s="39">
        <v>2017</v>
      </c>
      <c r="B35" s="39">
        <f>SUM('Raw Data'!D147:P147)</f>
        <v>1713.2</v>
      </c>
      <c r="C35" s="39">
        <f>SUM('Raw Data'!D180:P180)</f>
        <v>1767.5</v>
      </c>
      <c r="D35" s="78">
        <f>(C35-B35)/B35</f>
        <v>3.1695073546579473E-2</v>
      </c>
      <c r="F35" s="39">
        <v>2017</v>
      </c>
      <c r="G35" s="39">
        <f>'Raw Data'!Q147+'Raw Data'!Y147+'Raw Data'!Z147+'Raw Data'!AA147+'Raw Data'!AB147+'Raw Data'!AC147</f>
        <v>758.2</v>
      </c>
      <c r="H35" s="39">
        <f>'Raw Data'!Q180+'Raw Data'!Y180+'Raw Data'!Z180+'Raw Data'!AA180+'Raw Data'!AB180+'Raw Data'!AC180</f>
        <v>784.3</v>
      </c>
      <c r="I35" s="78">
        <f>(H35-G35)/G35</f>
        <v>3.4423634924821825E-2</v>
      </c>
      <c r="K35" s="39">
        <v>2017</v>
      </c>
      <c r="L35" s="39">
        <f>SUM('Raw Data'!R147:T147)</f>
        <v>381.5</v>
      </c>
      <c r="M35" s="39">
        <f>SUM('Raw Data'!R180:T180)</f>
        <v>395.2</v>
      </c>
      <c r="N35" s="78">
        <f>(M35-L35)/L35</f>
        <v>3.5910878112712943E-2</v>
      </c>
      <c r="Q35" s="39">
        <v>2017</v>
      </c>
      <c r="R35" s="39">
        <f>'Raw Data'!U147+'Raw Data'!W147</f>
        <v>254.7</v>
      </c>
      <c r="S35" s="39">
        <f>'Raw Data'!U180+'Raw Data'!W180</f>
        <v>268.39999999999998</v>
      </c>
      <c r="T35" s="78">
        <f>(S35-R35)/R35</f>
        <v>5.3788771103258692E-2</v>
      </c>
      <c r="V35" s="39">
        <v>2017</v>
      </c>
      <c r="W35" s="39">
        <f>'Raw Data'!V147</f>
        <v>118</v>
      </c>
      <c r="X35" s="39">
        <f>'Raw Data'!V180</f>
        <v>126.8</v>
      </c>
      <c r="Y35" s="78">
        <f>(X35-W35)/W35</f>
        <v>7.4576271186440654E-2</v>
      </c>
      <c r="AA35" s="39">
        <v>2017</v>
      </c>
      <c r="AB35" s="39">
        <f>'Raw Data'!X147</f>
        <v>122.6</v>
      </c>
      <c r="AC35" s="39">
        <f>'Raw Data'!X180</f>
        <v>128.19999999999999</v>
      </c>
      <c r="AD35" s="78">
        <f>(AC35-AB35)/AB35</f>
        <v>4.5676998368678584E-2</v>
      </c>
    </row>
    <row r="36" spans="1:30" x14ac:dyDescent="0.35">
      <c r="A36" s="39">
        <f>A35+1</f>
        <v>2018</v>
      </c>
      <c r="B36" s="39">
        <f>SUM('Raw Data'!D183:P183)</f>
        <v>1748.3000000000002</v>
      </c>
      <c r="C36" s="39">
        <f>SUM('Raw Data'!D216:P216)</f>
        <v>1746.6</v>
      </c>
      <c r="D36" s="78">
        <f t="shared" ref="D36:D40" si="18">(C36-B36)/B36</f>
        <v>-9.7237316250087095E-4</v>
      </c>
      <c r="F36" s="39">
        <f>F35+1</f>
        <v>2018</v>
      </c>
      <c r="G36" s="39">
        <f>'Raw Data'!Q183+'Raw Data'!Y183+'Raw Data'!Z183+'Raw Data'!AA183+'Raw Data'!AB183+'Raw Data'!AC183</f>
        <v>788.59999999999991</v>
      </c>
      <c r="H36" s="39">
        <f>'Raw Data'!Q216+'Raw Data'!Y216+'Raw Data'!Z216+'Raw Data'!AA216+'Raw Data'!AB216+'Raw Data'!AC216</f>
        <v>824.09999999999991</v>
      </c>
      <c r="I36" s="78">
        <f t="shared" ref="I36:I40" si="19">(H36-G36)/G36</f>
        <v>4.5016484909967035E-2</v>
      </c>
      <c r="K36" s="39">
        <f>K35+1</f>
        <v>2018</v>
      </c>
      <c r="L36" s="39">
        <f>SUM('Raw Data'!R183:T183)</f>
        <v>396.29999999999995</v>
      </c>
      <c r="M36" s="39">
        <f>SUM('Raw Data'!R216:T216)</f>
        <v>413.8</v>
      </c>
      <c r="N36" s="78">
        <f t="shared" ref="N36:N40" si="20">(M36-L36)/L36</f>
        <v>4.415846580873091E-2</v>
      </c>
      <c r="Q36" s="39">
        <f>Q35+1</f>
        <v>2018</v>
      </c>
      <c r="R36" s="39">
        <f>'Raw Data'!U183+'Raw Data'!W183</f>
        <v>269.89999999999998</v>
      </c>
      <c r="S36" s="39">
        <f>'Raw Data'!U216+'Raw Data'!W216</f>
        <v>282.7</v>
      </c>
      <c r="T36" s="78">
        <f t="shared" ref="T36:T40" si="21">(S36-R36)/R36</f>
        <v>4.7424972211930393E-2</v>
      </c>
      <c r="V36" s="39">
        <f>V35+1</f>
        <v>2018</v>
      </c>
      <c r="W36" s="39">
        <f>'Raw Data'!V183</f>
        <v>127.3</v>
      </c>
      <c r="X36" s="39">
        <f>'Raw Data'!V216</f>
        <v>132.4</v>
      </c>
      <c r="Y36" s="78">
        <f t="shared" ref="Y36:Y40" si="22">(X36-W36)/W36</f>
        <v>4.0062843676355132E-2</v>
      </c>
      <c r="AA36" s="39">
        <f>AA35+1</f>
        <v>2018</v>
      </c>
      <c r="AB36" s="39">
        <f>'Raw Data'!X183</f>
        <v>129</v>
      </c>
      <c r="AC36" s="39">
        <f>'Raw Data'!X216</f>
        <v>137.30000000000001</v>
      </c>
      <c r="AD36" s="78">
        <f t="shared" ref="AD36:AD40" si="23">(AC36-AB36)/AB36</f>
        <v>6.4341085271317919E-2</v>
      </c>
    </row>
    <row r="37" spans="1:30" x14ac:dyDescent="0.35">
      <c r="A37" s="39">
        <f t="shared" ref="A37:A41" si="24">A36+1</f>
        <v>2019</v>
      </c>
      <c r="B37" s="39">
        <f>SUM('Raw Data'!D219:P219)</f>
        <v>1744.3000000000002</v>
      </c>
      <c r="C37" s="39">
        <f>SUM('Raw Data'!D249:P249)</f>
        <v>1956.7</v>
      </c>
      <c r="D37" s="78">
        <f t="shared" si="18"/>
        <v>0.12176804448776005</v>
      </c>
      <c r="F37" s="39">
        <f t="shared" ref="F37:F41" si="25">F36+1</f>
        <v>2019</v>
      </c>
      <c r="G37" s="39">
        <f>'Raw Data'!Q219+'Raw Data'!Y219+'Raw Data'!Z219+'Raw Data'!AA219+'Raw Data'!AB219+'Raw Data'!AC219</f>
        <v>825.3</v>
      </c>
      <c r="H37" s="39">
        <f>'Raw Data'!Q249+'Raw Data'!Y249+'Raw Data'!Z249+'Raw Data'!AA249+'Raw Data'!AB249+'Raw Data'!AC249</f>
        <v>862.2</v>
      </c>
      <c r="I37" s="78">
        <f t="shared" si="19"/>
        <v>4.4711014176663143E-2</v>
      </c>
      <c r="K37" s="39">
        <f t="shared" ref="K37:K41" si="26">K36+1</f>
        <v>2019</v>
      </c>
      <c r="L37" s="39">
        <f>SUM('Raw Data'!R219:T219)</f>
        <v>414.5</v>
      </c>
      <c r="M37" s="39">
        <f>SUM('Raw Data'!R249:T249)</f>
        <v>424.20000000000005</v>
      </c>
      <c r="N37" s="78">
        <f t="shared" si="20"/>
        <v>2.3401688781664765E-2</v>
      </c>
      <c r="Q37" s="39">
        <f t="shared" ref="Q37:Q41" si="27">Q36+1</f>
        <v>2019</v>
      </c>
      <c r="R37" s="39">
        <f>'Raw Data'!U219+'Raw Data'!W219</f>
        <v>284</v>
      </c>
      <c r="S37" s="39">
        <f>'Raw Data'!U249+'Raw Data'!W249</f>
        <v>292.60000000000002</v>
      </c>
      <c r="T37" s="78">
        <f t="shared" si="21"/>
        <v>3.0281690140845152E-2</v>
      </c>
      <c r="V37" s="39">
        <f t="shared" ref="V37:V41" si="28">V36+1</f>
        <v>2019</v>
      </c>
      <c r="W37" s="39">
        <f>'Raw Data'!V219</f>
        <v>128.6</v>
      </c>
      <c r="X37" s="39">
        <f>'Raw Data'!V249</f>
        <v>133.6</v>
      </c>
      <c r="Y37" s="78">
        <f t="shared" si="22"/>
        <v>3.8880248833592534E-2</v>
      </c>
      <c r="AA37" s="39">
        <f t="shared" ref="AA37:AA41" si="29">AA36+1</f>
        <v>2019</v>
      </c>
      <c r="AB37" s="39">
        <f>'Raw Data'!X219</f>
        <v>137.80000000000001</v>
      </c>
      <c r="AC37" s="39">
        <f>'Raw Data'!X249</f>
        <v>143.19999999999999</v>
      </c>
      <c r="AD37" s="78">
        <f t="shared" si="23"/>
        <v>3.9187227866472982E-2</v>
      </c>
    </row>
    <row r="38" spans="1:30" x14ac:dyDescent="0.35">
      <c r="A38" s="39">
        <f t="shared" si="24"/>
        <v>2020</v>
      </c>
      <c r="B38" s="39">
        <f>SUM('Raw Data'!D252:P252)</f>
        <v>1945.3999999999999</v>
      </c>
      <c r="C38" s="39">
        <f>SUM('Raw Data'!D285:P285)</f>
        <v>2125.4</v>
      </c>
      <c r="D38" s="78">
        <f t="shared" si="18"/>
        <v>9.2525958671738587E-2</v>
      </c>
      <c r="F38" s="39">
        <f t="shared" si="25"/>
        <v>2020</v>
      </c>
      <c r="G38" s="39">
        <f>'Raw Data'!Q252+'Raw Data'!Y252+'Raw Data'!Z252+'Raw Data'!AA252+'Raw Data'!AB252+'Raw Data'!AC252</f>
        <v>866.69999999999993</v>
      </c>
      <c r="H38" s="39">
        <f>'Raw Data'!Q285+'Raw Data'!Y285+'Raw Data'!Z285+'Raw Data'!AA285+'Raw Data'!AB285+'Raw Data'!AC285</f>
        <v>931.69999999999993</v>
      </c>
      <c r="I38" s="78">
        <f t="shared" si="19"/>
        <v>7.4997115495557876E-2</v>
      </c>
      <c r="K38" s="39">
        <f t="shared" si="26"/>
        <v>2020</v>
      </c>
      <c r="L38" s="39">
        <f>SUM('Raw Data'!R252:T252)</f>
        <v>425.1</v>
      </c>
      <c r="M38" s="39">
        <f>SUM('Raw Data'!R285:T285)</f>
        <v>438.20000000000005</v>
      </c>
      <c r="N38" s="78">
        <f t="shared" si="20"/>
        <v>3.0816278522700594E-2</v>
      </c>
      <c r="Q38" s="39">
        <f t="shared" si="27"/>
        <v>2020</v>
      </c>
      <c r="R38" s="39">
        <f>'Raw Data'!U252+'Raw Data'!W252</f>
        <v>294</v>
      </c>
      <c r="S38" s="39">
        <f>'Raw Data'!U285+'Raw Data'!W285</f>
        <v>303.89999999999998</v>
      </c>
      <c r="T38" s="78">
        <f t="shared" si="21"/>
        <v>3.3673469387755027E-2</v>
      </c>
      <c r="V38" s="39">
        <f t="shared" si="28"/>
        <v>2020</v>
      </c>
      <c r="W38" s="39">
        <f>'Raw Data'!V252</f>
        <v>135.1</v>
      </c>
      <c r="X38" s="39">
        <f>'Raw Data'!V285</f>
        <v>137.9</v>
      </c>
      <c r="Y38" s="78">
        <f t="shared" si="22"/>
        <v>2.0725388601036353E-2</v>
      </c>
      <c r="AA38" s="39">
        <f t="shared" si="29"/>
        <v>2020</v>
      </c>
      <c r="AB38" s="39">
        <f>'Raw Data'!X252</f>
        <v>143.80000000000001</v>
      </c>
      <c r="AC38" s="39">
        <f>'Raw Data'!X285</f>
        <v>152.9</v>
      </c>
      <c r="AD38" s="78">
        <f t="shared" si="23"/>
        <v>6.3282336578581316E-2</v>
      </c>
    </row>
    <row r="39" spans="1:30" x14ac:dyDescent="0.35">
      <c r="A39" s="39">
        <f t="shared" si="24"/>
        <v>2021</v>
      </c>
      <c r="B39" s="39">
        <f>SUM('Raw Data'!D288:P288)</f>
        <v>2097</v>
      </c>
      <c r="C39" s="39">
        <f>SUM('Raw Data'!D321:P321)</f>
        <v>2206.3000000000002</v>
      </c>
      <c r="D39" s="78">
        <f t="shared" si="18"/>
        <v>5.212207916070586E-2</v>
      </c>
      <c r="F39" s="39">
        <f t="shared" si="25"/>
        <v>2021</v>
      </c>
      <c r="G39" s="39">
        <f>'Raw Data'!Q288++'Raw Data'!Y288+'Raw Data'!Z288+'Raw Data'!AA288+'Raw Data'!AB288+'Raw Data'!AC288</f>
        <v>935.50000000000011</v>
      </c>
      <c r="H39" s="39">
        <f>'Raw Data'!Q321+'Raw Data'!Y321+'Raw Data'!Z321+'Raw Data'!AA321+'Raw Data'!AB321+'Raw Data'!AC321</f>
        <v>987</v>
      </c>
      <c r="I39" s="78">
        <f t="shared" si="19"/>
        <v>5.5050774986638032E-2</v>
      </c>
      <c r="K39" s="39">
        <f t="shared" si="26"/>
        <v>2021</v>
      </c>
      <c r="L39" s="39">
        <f>SUM('Raw Data'!R288:T288)</f>
        <v>440</v>
      </c>
      <c r="M39" s="39">
        <f>SUM('Raw Data'!R321:T321)</f>
        <v>470.7</v>
      </c>
      <c r="N39" s="78">
        <f t="shared" si="20"/>
        <v>6.977272727272725E-2</v>
      </c>
      <c r="Q39" s="39">
        <f t="shared" si="27"/>
        <v>2021</v>
      </c>
      <c r="R39" s="39">
        <f>'Raw Data'!U288+'Raw Data'!W288</f>
        <v>303.39999999999998</v>
      </c>
      <c r="S39" s="39">
        <f>'Raw Data'!U321+'Raw Data'!W321</f>
        <v>319.39999999999998</v>
      </c>
      <c r="T39" s="78">
        <f t="shared" si="21"/>
        <v>5.2735662491760059E-2</v>
      </c>
      <c r="V39" s="39">
        <f t="shared" si="28"/>
        <v>2021</v>
      </c>
      <c r="W39" s="39">
        <f>'Raw Data'!V288</f>
        <v>142.9</v>
      </c>
      <c r="X39" s="39">
        <f>'Raw Data'!V321</f>
        <v>161.69999999999999</v>
      </c>
      <c r="Y39" s="78">
        <f t="shared" si="22"/>
        <v>0.13156053184044775</v>
      </c>
      <c r="AA39" s="39">
        <f t="shared" si="29"/>
        <v>2021</v>
      </c>
      <c r="AB39" s="39">
        <f>'Raw Data'!X288</f>
        <v>154.1</v>
      </c>
      <c r="AC39" s="39">
        <f>'Raw Data'!X321</f>
        <v>165.1</v>
      </c>
      <c r="AD39" s="78">
        <f t="shared" si="23"/>
        <v>7.1382219338092148E-2</v>
      </c>
    </row>
    <row r="40" spans="1:30" x14ac:dyDescent="0.35">
      <c r="A40" s="39">
        <f>A39+1</f>
        <v>2022</v>
      </c>
      <c r="B40" s="39">
        <f>SUM('Raw Data'!D324:P324)</f>
        <v>2186.6999999999998</v>
      </c>
      <c r="C40" s="39">
        <f>SUM('Raw Data'!D357:P357)</f>
        <v>2295.7999999999997</v>
      </c>
      <c r="D40" s="78">
        <f t="shared" si="18"/>
        <v>4.9892532126034624E-2</v>
      </c>
      <c r="F40" s="39">
        <f>F39+1</f>
        <v>2022</v>
      </c>
      <c r="G40" s="39">
        <f>'Raw Data'!Q324+'Raw Data'!Y324+'Raw Data'!Z324+'Raw Data'!AA324+'Raw Data'!AB324+'Raw Data'!AC324</f>
        <v>989.9</v>
      </c>
      <c r="H40" s="39">
        <f>'Raw Data'!Q357+'Raw Data'!Y357+'Raw Data'!Z357+'Raw Data'!AA357+'Raw Data'!AB357+'Raw Data'!AC357</f>
        <v>1043.6000000000001</v>
      </c>
      <c r="I40" s="78">
        <f t="shared" si="19"/>
        <v>5.4247903828669723E-2</v>
      </c>
      <c r="K40" s="39">
        <f>K39+1</f>
        <v>2022</v>
      </c>
      <c r="L40" s="39">
        <f>SUM('Raw Data'!R324:T324)</f>
        <v>475.4</v>
      </c>
      <c r="M40" s="39">
        <f>SUM('Raw Data'!R357:T357)</f>
        <v>517.9</v>
      </c>
      <c r="N40" s="78">
        <f t="shared" si="20"/>
        <v>8.9398401346234752E-2</v>
      </c>
      <c r="Q40" s="39">
        <f>Q39+1</f>
        <v>2022</v>
      </c>
      <c r="R40" s="39">
        <f>'Raw Data'!U324+'Raw Data'!W324</f>
        <v>321.3</v>
      </c>
      <c r="S40" s="39">
        <f>'Raw Data'!U357+'Raw Data'!W357</f>
        <v>338</v>
      </c>
      <c r="T40" s="78">
        <f t="shared" si="21"/>
        <v>5.1976346093993119E-2</v>
      </c>
      <c r="V40" s="39">
        <f>V39+1</f>
        <v>2022</v>
      </c>
      <c r="W40" s="39">
        <f>'Raw Data'!V324</f>
        <v>161.6</v>
      </c>
      <c r="X40" s="39">
        <f>'Raw Data'!V357</f>
        <v>180.6</v>
      </c>
      <c r="Y40" s="78">
        <f t="shared" si="22"/>
        <v>0.11757425742574258</v>
      </c>
      <c r="AA40" s="39">
        <f>AA39+1</f>
        <v>2022</v>
      </c>
      <c r="AB40" s="39">
        <f>'Raw Data'!X324</f>
        <v>166.1</v>
      </c>
      <c r="AC40" s="39">
        <f>'Raw Data'!X357</f>
        <v>177.2</v>
      </c>
      <c r="AD40" s="78">
        <f t="shared" si="23"/>
        <v>6.6827212522576729E-2</v>
      </c>
    </row>
    <row r="41" spans="1:30" x14ac:dyDescent="0.35">
      <c r="A41" s="39">
        <f t="shared" si="24"/>
        <v>2023</v>
      </c>
      <c r="B41" s="39">
        <f>SUM('Raw Data'!D360:P360)</f>
        <v>2310.2000000000003</v>
      </c>
      <c r="C41" s="39"/>
      <c r="D41" s="39" t="s">
        <v>184</v>
      </c>
      <c r="F41" s="39">
        <f t="shared" si="25"/>
        <v>2023</v>
      </c>
      <c r="G41" s="39">
        <f>'Raw Data'!Q360+'Raw Data'!Y360+'Raw Data'!Z360+'Raw Data'!AA360+'Raw Data'!AB360+'Raw Data'!AC360</f>
        <v>1048.4000000000001</v>
      </c>
      <c r="H41" s="39"/>
      <c r="I41" s="39" t="s">
        <v>184</v>
      </c>
      <c r="K41" s="39">
        <f t="shared" si="26"/>
        <v>2023</v>
      </c>
      <c r="L41" s="39">
        <f>SUM('Raw Data'!R360:T360)</f>
        <v>520.6</v>
      </c>
      <c r="M41" s="39"/>
      <c r="N41" s="39" t="s">
        <v>184</v>
      </c>
      <c r="Q41" s="39">
        <f t="shared" si="27"/>
        <v>2023</v>
      </c>
      <c r="R41" s="39">
        <f>'Raw Data'!U360+'Raw Data'!W360</f>
        <v>340.1</v>
      </c>
      <c r="S41" s="39"/>
      <c r="T41" s="39" t="s">
        <v>184</v>
      </c>
      <c r="V41" s="39">
        <f t="shared" si="28"/>
        <v>2023</v>
      </c>
      <c r="W41" s="39">
        <f>'Raw Data'!V360</f>
        <v>180.1</v>
      </c>
      <c r="X41" s="39"/>
      <c r="Y41" s="39" t="s">
        <v>184</v>
      </c>
      <c r="AA41" s="39">
        <f t="shared" si="29"/>
        <v>2023</v>
      </c>
      <c r="AB41" s="39">
        <f>'Raw Data'!X360</f>
        <v>178.5</v>
      </c>
      <c r="AC41" s="39"/>
      <c r="AD41" s="39" t="s">
        <v>184</v>
      </c>
    </row>
    <row r="45" spans="1:30" x14ac:dyDescent="0.35">
      <c r="A45" s="4" t="s">
        <v>190</v>
      </c>
    </row>
    <row r="46" spans="1:30" x14ac:dyDescent="0.35">
      <c r="A46" s="4" t="s">
        <v>189</v>
      </c>
    </row>
    <row r="47" spans="1:30" x14ac:dyDescent="0.35">
      <c r="A47" s="45" t="s">
        <v>170</v>
      </c>
      <c r="F47" s="45" t="s">
        <v>28</v>
      </c>
      <c r="K47" s="45" t="s">
        <v>17</v>
      </c>
      <c r="Q47" s="45" t="s">
        <v>20</v>
      </c>
      <c r="V47" s="45" t="s">
        <v>172</v>
      </c>
      <c r="AA47" s="45" t="s">
        <v>23</v>
      </c>
    </row>
    <row r="48" spans="1:30" ht="15" x14ac:dyDescent="0.35">
      <c r="A48" s="1" t="s">
        <v>186</v>
      </c>
      <c r="B48" s="1" t="s">
        <v>181</v>
      </c>
      <c r="C48" s="1" t="s">
        <v>182</v>
      </c>
      <c r="D48" s="1" t="s">
        <v>187</v>
      </c>
      <c r="E48" s="4"/>
      <c r="F48" s="1" t="s">
        <v>186</v>
      </c>
      <c r="G48" s="1" t="s">
        <v>181</v>
      </c>
      <c r="H48" s="1" t="s">
        <v>182</v>
      </c>
      <c r="I48" s="1" t="s">
        <v>187</v>
      </c>
      <c r="K48" s="1" t="s">
        <v>186</v>
      </c>
      <c r="L48" s="1" t="s">
        <v>181</v>
      </c>
      <c r="M48" s="1" t="s">
        <v>182</v>
      </c>
      <c r="N48" s="1" t="s">
        <v>187</v>
      </c>
      <c r="Q48" s="1" t="s">
        <v>186</v>
      </c>
      <c r="R48" s="1" t="s">
        <v>181</v>
      </c>
      <c r="S48" s="1" t="s">
        <v>182</v>
      </c>
      <c r="T48" s="1" t="s">
        <v>187</v>
      </c>
      <c r="V48" s="1" t="s">
        <v>186</v>
      </c>
      <c r="W48" s="1" t="s">
        <v>181</v>
      </c>
      <c r="X48" s="1" t="s">
        <v>182</v>
      </c>
      <c r="Y48" s="1" t="s">
        <v>187</v>
      </c>
      <c r="AA48" s="1" t="s">
        <v>186</v>
      </c>
      <c r="AB48" s="1" t="s">
        <v>181</v>
      </c>
      <c r="AC48" s="1" t="s">
        <v>182</v>
      </c>
      <c r="AD48" s="1" t="s">
        <v>187</v>
      </c>
    </row>
    <row r="49" spans="1:30" x14ac:dyDescent="0.35">
      <c r="A49" s="39">
        <v>2017</v>
      </c>
      <c r="B49" s="39">
        <f>SUM('Raw Data'!D146:P146)</f>
        <v>1737.3000000000002</v>
      </c>
      <c r="C49" s="39">
        <f>SUM('Raw Data'!D179:P179)</f>
        <v>1813.6000000000001</v>
      </c>
      <c r="D49" s="78">
        <f>(C49-B49)/B49</f>
        <v>4.3918724457491481E-2</v>
      </c>
      <c r="F49" s="39">
        <v>2017</v>
      </c>
      <c r="G49" s="39">
        <f>'Raw Data'!Q146+'Raw Data'!Y146+'Raw Data'!Z146+'Raw Data'!AA146+'Raw Data'!AB146+'Raw Data'!AC146</f>
        <v>772.69999999999993</v>
      </c>
      <c r="H49" s="39">
        <f>'Raw Data'!Q179+'Raw Data'!Y179+'Raw Data'!Z179+'Raw Data'!AA179+'Raw Data'!AB179+'Raw Data'!AC179</f>
        <v>809.4</v>
      </c>
      <c r="I49" s="78">
        <f>(H49-G49)/G49</f>
        <v>4.7495793969198973E-2</v>
      </c>
      <c r="K49" s="39">
        <v>2017</v>
      </c>
      <c r="L49" s="39">
        <f>SUM('Raw Data'!R146:T146)</f>
        <v>416.5</v>
      </c>
      <c r="M49" s="39">
        <f>SUM('Raw Data'!R179:T179)</f>
        <v>437.09999999999997</v>
      </c>
      <c r="N49" s="78">
        <f>(M49-L49)/L49</f>
        <v>4.9459783913565342E-2</v>
      </c>
      <c r="Q49" s="39">
        <v>2017</v>
      </c>
      <c r="R49" s="39">
        <f>'Raw Data'!U147+'Raw Data'!W147</f>
        <v>254.7</v>
      </c>
      <c r="S49" s="39">
        <f>'Raw Data'!U180+'Raw Data'!W180</f>
        <v>268.39999999999998</v>
      </c>
      <c r="T49" s="78">
        <f>(S49-R49)/R49</f>
        <v>5.3788771103258692E-2</v>
      </c>
      <c r="V49" s="39">
        <v>2017</v>
      </c>
      <c r="W49" s="39">
        <f>'Raw Data'!V146</f>
        <v>132.1</v>
      </c>
      <c r="X49" s="39">
        <f>'Raw Data'!V179</f>
        <v>142.6</v>
      </c>
      <c r="Y49" s="78">
        <f>(X49-W49)/W49</f>
        <v>7.9485238455715368E-2</v>
      </c>
      <c r="AA49" s="39">
        <v>2017</v>
      </c>
      <c r="AB49" s="39">
        <f>'Raw Data'!X146</f>
        <v>129.9</v>
      </c>
      <c r="AC49" s="39">
        <f>'Raw Data'!X179</f>
        <v>136.1</v>
      </c>
      <c r="AD49" s="78">
        <f>(AC49-AB49)/AB49</f>
        <v>4.7729022324865193E-2</v>
      </c>
    </row>
    <row r="50" spans="1:30" x14ac:dyDescent="0.35">
      <c r="A50" s="39">
        <f>A49+1</f>
        <v>2018</v>
      </c>
      <c r="B50" s="39">
        <f>SUM('Raw Data'!D182:P182)</f>
        <v>1800.7</v>
      </c>
      <c r="C50" s="39">
        <f>SUM('Raw Data'!D215:P215)</f>
        <v>1773.1000000000001</v>
      </c>
      <c r="D50" s="78">
        <f t="shared" ref="D50:D54" si="30">(C50-B50)/B50</f>
        <v>-1.5327372688398904E-2</v>
      </c>
      <c r="F50" s="39">
        <f>F49+1</f>
        <v>2018</v>
      </c>
      <c r="G50" s="39">
        <f>'Raw Data'!Q182+'Raw Data'!Y182+'Raw Data'!Z182+'Raw Data'!AA182+'Raw Data'!AB182+'Raw Data'!AC182</f>
        <v>813.10000000000014</v>
      </c>
      <c r="H50" s="39">
        <f>'Raw Data'!Q215+'Raw Data'!Y215+'Raw Data'!Z215+'Raw Data'!AA215+'Raw Data'!AB215+'Raw Data'!AC215</f>
        <v>864.50000000000011</v>
      </c>
      <c r="I50" s="78">
        <f t="shared" ref="I50:I54" si="31">(H50-G50)/G50</f>
        <v>6.3214856721190468E-2</v>
      </c>
      <c r="K50" s="39">
        <f>K49+1</f>
        <v>2018</v>
      </c>
      <c r="L50" s="39">
        <f>SUM('Raw Data'!R182:T182)</f>
        <v>438.1</v>
      </c>
      <c r="M50" s="39">
        <f>SUM('Raw Data'!R215:T215)</f>
        <v>448.3</v>
      </c>
      <c r="N50" s="78">
        <f t="shared" ref="N50:N54" si="32">(M50-L50)/L50</f>
        <v>2.3282355626569249E-2</v>
      </c>
      <c r="Q50" s="39">
        <f>Q49+1</f>
        <v>2018</v>
      </c>
      <c r="R50" s="39">
        <f>'Raw Data'!U183+'Raw Data'!W183</f>
        <v>269.89999999999998</v>
      </c>
      <c r="S50" s="39">
        <f>'Raw Data'!U216+'Raw Data'!W216</f>
        <v>282.7</v>
      </c>
      <c r="T50" s="78">
        <f t="shared" ref="T50:T54" si="33">(S50-R50)/R50</f>
        <v>4.7424972211930393E-2</v>
      </c>
      <c r="V50" s="39">
        <f>V49+1</f>
        <v>2018</v>
      </c>
      <c r="W50" s="39">
        <f>'Raw Data'!V182</f>
        <v>142.30000000000001</v>
      </c>
      <c r="X50" s="39">
        <f>'Raw Data'!V215</f>
        <v>149</v>
      </c>
      <c r="Y50" s="78">
        <f t="shared" ref="Y50:Y54" si="34">(X50-W50)/W50</f>
        <v>4.7083626141953536E-2</v>
      </c>
      <c r="AA50" s="39">
        <f>AA49+1</f>
        <v>2018</v>
      </c>
      <c r="AB50" s="39">
        <f>'Raw Data'!X182</f>
        <v>136</v>
      </c>
      <c r="AC50" s="39">
        <f>'Raw Data'!X215</f>
        <v>149.6</v>
      </c>
      <c r="AD50" s="78">
        <f t="shared" ref="AD50:AD54" si="35">(AC50-AB50)/AB50</f>
        <v>9.9999999999999964E-2</v>
      </c>
    </row>
    <row r="51" spans="1:30" x14ac:dyDescent="0.35">
      <c r="A51" s="39">
        <f t="shared" ref="A51:A55" si="36">A50+1</f>
        <v>2019</v>
      </c>
      <c r="B51" s="39">
        <f>SUM('Raw Data'!D218:P218)</f>
        <v>1759.6000000000001</v>
      </c>
      <c r="C51" s="39">
        <f>SUM('Raw Data'!D248:P248)</f>
        <v>1940.9999999999995</v>
      </c>
      <c r="D51" s="78">
        <f t="shared" si="30"/>
        <v>0.10309161172993828</v>
      </c>
      <c r="F51" s="39">
        <f t="shared" ref="F51:F55" si="37">F50+1</f>
        <v>2019</v>
      </c>
      <c r="G51" s="39">
        <f>'Raw Data'!Q218+'Raw Data'!Y218+'Raw Data'!Z218+'Raw Data'!AA218+'Raw Data'!AB218+'Raw Data'!AC218</f>
        <v>864.59999999999991</v>
      </c>
      <c r="H51" s="39">
        <f>'Raw Data'!Q248+'Raw Data'!Y248+'Raw Data'!Z248+'Raw Data'!AA248+'Raw Data'!AB248+'Raw Data'!AC248</f>
        <v>901.1</v>
      </c>
      <c r="I51" s="78">
        <f t="shared" si="31"/>
        <v>4.221605366643548E-2</v>
      </c>
      <c r="K51" s="39">
        <f t="shared" ref="K51:K55" si="38">K50+1</f>
        <v>2019</v>
      </c>
      <c r="L51" s="39">
        <f>SUM('Raw Data'!R218:T218)</f>
        <v>445.6</v>
      </c>
      <c r="M51" s="39">
        <f>SUM('Raw Data'!R248:T248)</f>
        <v>451.79999999999995</v>
      </c>
      <c r="N51" s="78">
        <f t="shared" si="32"/>
        <v>1.3913824057450475E-2</v>
      </c>
      <c r="Q51" s="39">
        <f t="shared" ref="Q51:Q55" si="39">Q50+1</f>
        <v>2019</v>
      </c>
      <c r="R51" s="39">
        <f>'Raw Data'!U219+'Raw Data'!W219</f>
        <v>284</v>
      </c>
      <c r="S51" s="39">
        <f>'Raw Data'!U249+'Raw Data'!W249</f>
        <v>292.60000000000002</v>
      </c>
      <c r="T51" s="78">
        <f t="shared" si="33"/>
        <v>3.0281690140845152E-2</v>
      </c>
      <c r="V51" s="39">
        <f t="shared" ref="V51:V55" si="40">V50+1</f>
        <v>2019</v>
      </c>
      <c r="W51" s="39">
        <f>'Raw Data'!V218</f>
        <v>146.19999999999999</v>
      </c>
      <c r="X51" s="39">
        <f>'Raw Data'!V248</f>
        <v>149.9</v>
      </c>
      <c r="Y51" s="78">
        <f t="shared" si="34"/>
        <v>2.5307797537619817E-2</v>
      </c>
      <c r="AA51" s="39">
        <f t="shared" ref="AA51:AA55" si="41">AA50+1</f>
        <v>2019</v>
      </c>
      <c r="AB51" s="39">
        <f>'Raw Data'!X218</f>
        <v>149.6</v>
      </c>
      <c r="AC51" s="39">
        <f>'Raw Data'!X248</f>
        <v>154.80000000000001</v>
      </c>
      <c r="AD51" s="78">
        <f t="shared" si="35"/>
        <v>3.4759358288770172E-2</v>
      </c>
    </row>
    <row r="52" spans="1:30" x14ac:dyDescent="0.35">
      <c r="A52" s="39">
        <f t="shared" si="36"/>
        <v>2020</v>
      </c>
      <c r="B52" s="39">
        <f>SUM('Raw Data'!D251:P251)</f>
        <v>1938.6</v>
      </c>
      <c r="C52" s="39">
        <f>SUM('Raw Data'!D284:P284)</f>
        <v>2100.5</v>
      </c>
      <c r="D52" s="78">
        <f t="shared" si="30"/>
        <v>8.3513875992984682E-2</v>
      </c>
      <c r="F52" s="39">
        <f t="shared" si="37"/>
        <v>2020</v>
      </c>
      <c r="G52" s="39">
        <f>'Raw Data'!Q251+'Raw Data'!Y251+'Raw Data'!Z251+'Raw Data'!AA251+'Raw Data'!AB251+'Raw Data'!AC251</f>
        <v>907.30000000000007</v>
      </c>
      <c r="H52" s="39">
        <f>'Raw Data'!Q284+'Raw Data'!Y284+'Raw Data'!Z284+'Raw Data'!AA284+'Raw Data'!AB284+'Raw Data'!AC284</f>
        <v>958.59999999999991</v>
      </c>
      <c r="I52" s="78">
        <f t="shared" si="31"/>
        <v>5.6541386531466807E-2</v>
      </c>
      <c r="K52" s="39">
        <f t="shared" si="38"/>
        <v>2020</v>
      </c>
      <c r="L52" s="39">
        <f>SUM('Raw Data'!R251:T251)</f>
        <v>452.30000000000007</v>
      </c>
      <c r="M52" s="39">
        <f>SUM('Raw Data'!R284:T284)</f>
        <v>464.90000000000003</v>
      </c>
      <c r="N52" s="78">
        <f t="shared" si="32"/>
        <v>2.7857616626133019E-2</v>
      </c>
      <c r="Q52" s="39">
        <f t="shared" si="39"/>
        <v>2020</v>
      </c>
      <c r="R52" s="39">
        <f>'Raw Data'!U252+'Raw Data'!W252</f>
        <v>294</v>
      </c>
      <c r="S52" s="39">
        <f>'Raw Data'!U285+'Raw Data'!W285</f>
        <v>303.89999999999998</v>
      </c>
      <c r="T52" s="78">
        <f t="shared" si="33"/>
        <v>3.3673469387755027E-2</v>
      </c>
      <c r="V52" s="39">
        <f t="shared" si="40"/>
        <v>2020</v>
      </c>
      <c r="W52" s="39">
        <f>'Raw Data'!V251</f>
        <v>150.4</v>
      </c>
      <c r="X52" s="39">
        <f>'Raw Data'!V284</f>
        <v>148.69999999999999</v>
      </c>
      <c r="Y52" s="78">
        <f t="shared" si="34"/>
        <v>-1.1303191489361816E-2</v>
      </c>
      <c r="AA52" s="39">
        <f t="shared" si="41"/>
        <v>2020</v>
      </c>
      <c r="AB52" s="39">
        <f>'Raw Data'!X251</f>
        <v>155.69999999999999</v>
      </c>
      <c r="AC52" s="39">
        <f>'Raw Data'!X284</f>
        <v>161.6</v>
      </c>
      <c r="AD52" s="78">
        <f t="shared" si="35"/>
        <v>3.7893384714194005E-2</v>
      </c>
    </row>
    <row r="53" spans="1:30" x14ac:dyDescent="0.35">
      <c r="A53" s="39">
        <f t="shared" si="36"/>
        <v>2021</v>
      </c>
      <c r="B53" s="39">
        <f>SUM('Raw Data'!D287:P287)</f>
        <v>2065.6999999999998</v>
      </c>
      <c r="C53" s="39">
        <f>SUM('Raw Data'!D320:P320)</f>
        <v>2168.1999999999998</v>
      </c>
      <c r="D53" s="78">
        <f t="shared" si="30"/>
        <v>4.9619983540688389E-2</v>
      </c>
      <c r="F53" s="39">
        <f t="shared" si="37"/>
        <v>2021</v>
      </c>
      <c r="G53" s="39">
        <f>'Raw Data'!Q287+'Raw Data'!Y287+'Raw Data'!Z287+'Raw Data'!AA287+'Raw Data'!AB287+'Raw Data'!AC287</f>
        <v>962.80000000000007</v>
      </c>
      <c r="H53" s="39">
        <f>'Raw Data'!Q320+'Raw Data'!Y320+'Raw Data'!Z320+'Raw Data'!AA320+'Raw Data'!AB320+'Raw Data'!AC320</f>
        <v>1013.8999999999999</v>
      </c>
      <c r="I53" s="78">
        <f t="shared" si="31"/>
        <v>5.3074366431241991E-2</v>
      </c>
      <c r="K53" s="39">
        <f t="shared" si="38"/>
        <v>2021</v>
      </c>
      <c r="L53" s="39">
        <f>SUM('Raw Data'!R287:T287)</f>
        <v>466.7</v>
      </c>
      <c r="M53" s="39">
        <f>SUM('Raw Data'!R320:T320)</f>
        <v>510.3</v>
      </c>
      <c r="N53" s="78">
        <f t="shared" si="32"/>
        <v>9.3421898435826059E-2</v>
      </c>
      <c r="Q53" s="39">
        <f t="shared" si="39"/>
        <v>2021</v>
      </c>
      <c r="R53" s="39">
        <f>'Raw Data'!U288+'Raw Data'!W288</f>
        <v>303.39999999999998</v>
      </c>
      <c r="S53" s="39">
        <f>'Raw Data'!U321+'Raw Data'!W321</f>
        <v>319.39999999999998</v>
      </c>
      <c r="T53" s="78">
        <f t="shared" si="33"/>
        <v>5.2735662491760059E-2</v>
      </c>
      <c r="V53" s="39">
        <f t="shared" si="40"/>
        <v>2021</v>
      </c>
      <c r="W53" s="39">
        <f>'Raw Data'!V287</f>
        <v>150.9</v>
      </c>
      <c r="X53" s="39">
        <f>'Raw Data'!V320</f>
        <v>165.6</v>
      </c>
      <c r="Y53" s="78">
        <f t="shared" si="34"/>
        <v>9.7415506958250422E-2</v>
      </c>
      <c r="AA53" s="39">
        <f t="shared" si="41"/>
        <v>2021</v>
      </c>
      <c r="AB53" s="39">
        <f>'Raw Data'!X287</f>
        <v>162.5</v>
      </c>
      <c r="AC53" s="39">
        <f>'Raw Data'!X320</f>
        <v>174</v>
      </c>
      <c r="AD53" s="78">
        <f t="shared" si="35"/>
        <v>7.0769230769230765E-2</v>
      </c>
    </row>
    <row r="54" spans="1:30" x14ac:dyDescent="0.35">
      <c r="A54" s="39">
        <f>A53+1</f>
        <v>2022</v>
      </c>
      <c r="B54" s="39">
        <f>SUM('Raw Data'!D323:P323)</f>
        <v>2153</v>
      </c>
      <c r="C54" s="39">
        <f>SUM('Raw Data'!D356:P356)</f>
        <v>2277.1</v>
      </c>
      <c r="D54" s="78">
        <f t="shared" si="30"/>
        <v>5.76405016256386E-2</v>
      </c>
      <c r="F54" s="39">
        <f>F53+1</f>
        <v>2022</v>
      </c>
      <c r="G54" s="39">
        <f>'Raw Data'!Q323+'Raw Data'!Y323+'Raw Data'!Z323+'Raw Data'!AA323+'Raw Data'!AB323+'Raw Data'!AC323</f>
        <v>1016.1</v>
      </c>
      <c r="H54" s="39">
        <f>'Raw Data'!Q356+'Raw Data'!Y356+'Raw Data'!Z356+'Raw Data'!AA356+'Raw Data'!AB356+'Raw Data'!AC356</f>
        <v>1063.4000000000001</v>
      </c>
      <c r="I54" s="78">
        <f t="shared" si="31"/>
        <v>4.6550536364531117E-2</v>
      </c>
      <c r="K54" s="39">
        <f>K53+1</f>
        <v>2022</v>
      </c>
      <c r="L54" s="39">
        <f>SUM('Raw Data'!R323:T323)</f>
        <v>515.20000000000005</v>
      </c>
      <c r="M54" s="39">
        <f>SUM('Raw Data'!R356:T356)</f>
        <v>561.79999999999995</v>
      </c>
      <c r="N54" s="78">
        <f t="shared" si="32"/>
        <v>9.0450310559006028E-2</v>
      </c>
      <c r="Q54" s="39">
        <f>Q53+1</f>
        <v>2022</v>
      </c>
      <c r="R54" s="39">
        <f>'Raw Data'!U324+'Raw Data'!W324</f>
        <v>321.3</v>
      </c>
      <c r="S54" s="39">
        <f>'Raw Data'!U357+'Raw Data'!W357</f>
        <v>338</v>
      </c>
      <c r="T54" s="78">
        <f t="shared" si="33"/>
        <v>5.1976346093993119E-2</v>
      </c>
      <c r="V54" s="39">
        <f>V53+1</f>
        <v>2022</v>
      </c>
      <c r="W54" s="39">
        <f>'Raw Data'!V323</f>
        <v>165.8</v>
      </c>
      <c r="X54" s="39">
        <f>'Raw Data'!V356</f>
        <v>182.8</v>
      </c>
      <c r="Y54" s="78">
        <f t="shared" si="34"/>
        <v>0.10253317249698431</v>
      </c>
      <c r="AA54" s="39">
        <f>AA53+1</f>
        <v>2022</v>
      </c>
      <c r="AB54" s="39">
        <f>'Raw Data'!X323</f>
        <v>174.7</v>
      </c>
      <c r="AC54" s="39">
        <f>'Raw Data'!X356</f>
        <v>183.5</v>
      </c>
      <c r="AD54" s="78">
        <f t="shared" si="35"/>
        <v>5.0372066399542142E-2</v>
      </c>
    </row>
    <row r="55" spans="1:30" x14ac:dyDescent="0.35">
      <c r="A55" s="39">
        <f t="shared" si="36"/>
        <v>2023</v>
      </c>
      <c r="B55" s="39">
        <f>SUM('Raw Data'!D359:P359)</f>
        <v>2283.2000000000003</v>
      </c>
      <c r="C55" s="39"/>
      <c r="D55" s="39" t="s">
        <v>184</v>
      </c>
      <c r="F55" s="39">
        <f t="shared" si="37"/>
        <v>2023</v>
      </c>
      <c r="G55" s="39">
        <f>'Raw Data'!Q359+'Raw Data'!Y359+'Raw Data'!Z359+'Raw Data'!AA359+'Raw Data'!AB359+'Raw Data'!AC359</f>
        <v>1069.5999999999999</v>
      </c>
      <c r="H55" s="39"/>
      <c r="I55" s="39" t="s">
        <v>184</v>
      </c>
      <c r="K55" s="39">
        <f t="shared" si="38"/>
        <v>2023</v>
      </c>
      <c r="L55" s="39">
        <f>SUM('Raw Data'!R359:T359)</f>
        <v>563.9</v>
      </c>
      <c r="M55" s="39"/>
      <c r="N55" s="39" t="s">
        <v>184</v>
      </c>
      <c r="Q55" s="39">
        <f t="shared" si="39"/>
        <v>2023</v>
      </c>
      <c r="R55" s="39">
        <f>'Raw Data'!U360+'Raw Data'!W360</f>
        <v>340.1</v>
      </c>
      <c r="S55" s="39"/>
      <c r="T55" s="39" t="s">
        <v>184</v>
      </c>
      <c r="V55" s="39">
        <f t="shared" si="40"/>
        <v>2023</v>
      </c>
      <c r="W55" s="39">
        <f>'Raw Data'!V359</f>
        <v>183.2</v>
      </c>
      <c r="X55" s="39"/>
      <c r="Y55" s="39" t="s">
        <v>184</v>
      </c>
      <c r="AA55" s="39">
        <f t="shared" si="41"/>
        <v>2023</v>
      </c>
      <c r="AB55" s="39">
        <f>'Raw Data'!X359</f>
        <v>184.7</v>
      </c>
      <c r="AC55" s="39"/>
      <c r="AD55" s="39" t="s">
        <v>184</v>
      </c>
    </row>
    <row r="56" spans="1:30" x14ac:dyDescent="0.35">
      <c r="Q56" t="s">
        <v>191</v>
      </c>
    </row>
    <row r="57" spans="1:30" x14ac:dyDescent="0.35">
      <c r="Q57" t="s">
        <v>192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9A1E-7E82-4699-AD5A-B536ED6C39C4}">
  <sheetPr>
    <tabColor rgb="FF92D050"/>
  </sheetPr>
  <dimension ref="A1:Q72"/>
  <sheetViews>
    <sheetView showGridLines="0" topLeftCell="A43" workbookViewId="0">
      <selection activeCell="D68" sqref="D68"/>
    </sheetView>
  </sheetViews>
  <sheetFormatPr defaultRowHeight="14.5" x14ac:dyDescent="0.35"/>
  <cols>
    <col min="1" max="1" width="36.81640625" bestFit="1" customWidth="1"/>
    <col min="3" max="3" width="12.36328125" bestFit="1" customWidth="1"/>
    <col min="4" max="4" width="12.36328125" customWidth="1"/>
    <col min="6" max="6" width="12.453125" bestFit="1" customWidth="1"/>
    <col min="7" max="7" width="11.36328125" bestFit="1" customWidth="1"/>
    <col min="8" max="8" width="18" bestFit="1" customWidth="1"/>
  </cols>
  <sheetData>
    <row r="1" spans="1:17" ht="15.5" x14ac:dyDescent="0.35">
      <c r="A1" s="15" t="s">
        <v>203</v>
      </c>
      <c r="B1" s="16"/>
      <c r="C1" s="16"/>
    </row>
    <row r="2" spans="1:17" ht="15.5" x14ac:dyDescent="0.35">
      <c r="A2" s="17" t="s">
        <v>201</v>
      </c>
      <c r="B2" s="16"/>
      <c r="C2" s="16"/>
    </row>
    <row r="3" spans="1:17" x14ac:dyDescent="0.35">
      <c r="A3" s="18" t="s">
        <v>200</v>
      </c>
      <c r="B3" s="16"/>
      <c r="C3" s="16"/>
    </row>
    <row r="4" spans="1:17" x14ac:dyDescent="0.35">
      <c r="A4" s="4" t="s">
        <v>30</v>
      </c>
    </row>
    <row r="5" spans="1:17" x14ac:dyDescent="0.35">
      <c r="A5" s="44" t="s">
        <v>197</v>
      </c>
    </row>
    <row r="6" spans="1:17" ht="15" x14ac:dyDescent="0.35">
      <c r="A6" s="1" t="s">
        <v>1</v>
      </c>
      <c r="B6" s="1" t="s">
        <v>2</v>
      </c>
      <c r="C6" s="1" t="s">
        <v>198</v>
      </c>
      <c r="D6" s="1" t="s">
        <v>199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Q6" s="1" t="s">
        <v>15</v>
      </c>
    </row>
    <row r="7" spans="1:17" x14ac:dyDescent="0.35">
      <c r="A7" s="2">
        <v>2022</v>
      </c>
      <c r="B7" s="2" t="s">
        <v>41</v>
      </c>
      <c r="C7" s="2">
        <f>SUM('Raw Data'!D335:P335)</f>
        <v>2226.8000000000002</v>
      </c>
      <c r="D7" s="2"/>
      <c r="E7" s="2">
        <v>152.9</v>
      </c>
      <c r="F7" s="2">
        <v>214.7</v>
      </c>
      <c r="G7" s="2">
        <v>161.4</v>
      </c>
      <c r="H7" s="2">
        <v>164.6</v>
      </c>
      <c r="I7" s="2">
        <v>209.9</v>
      </c>
      <c r="J7" s="2">
        <v>168</v>
      </c>
      <c r="K7" s="2">
        <v>160.4</v>
      </c>
      <c r="L7" s="2">
        <v>165</v>
      </c>
      <c r="M7" s="2">
        <v>118.9</v>
      </c>
      <c r="N7" s="2">
        <v>186.6</v>
      </c>
      <c r="O7" s="2">
        <v>173.2</v>
      </c>
      <c r="P7" s="2">
        <v>180.4</v>
      </c>
      <c r="Q7" s="2">
        <v>170.8</v>
      </c>
    </row>
    <row r="8" spans="1:17" x14ac:dyDescent="0.35">
      <c r="A8" s="2">
        <v>2022</v>
      </c>
      <c r="B8" s="2" t="s">
        <v>42</v>
      </c>
      <c r="C8" s="2">
        <f>SUM('Raw Data'!D338:P338)</f>
        <v>2248.3000000000002</v>
      </c>
      <c r="D8" s="13">
        <f>(C8-C7)/C7</f>
        <v>9.6551104724268005E-3</v>
      </c>
      <c r="E8" s="2">
        <v>153.80000000000001</v>
      </c>
      <c r="F8" s="2">
        <v>217.2</v>
      </c>
      <c r="G8" s="2">
        <v>169.6</v>
      </c>
      <c r="H8" s="2">
        <v>165.4</v>
      </c>
      <c r="I8" s="2">
        <v>208.1</v>
      </c>
      <c r="J8" s="2">
        <v>165.8</v>
      </c>
      <c r="K8" s="2">
        <v>167.3</v>
      </c>
      <c r="L8" s="2">
        <v>164.6</v>
      </c>
      <c r="M8" s="2">
        <v>119.1</v>
      </c>
      <c r="N8" s="2">
        <v>188.9</v>
      </c>
      <c r="O8" s="2">
        <v>174.2</v>
      </c>
      <c r="P8" s="2">
        <v>181.9</v>
      </c>
      <c r="Q8" s="2">
        <v>172.4</v>
      </c>
    </row>
    <row r="9" spans="1:17" x14ac:dyDescent="0.35">
      <c r="A9" s="2">
        <v>2022</v>
      </c>
      <c r="B9" s="2" t="s">
        <v>44</v>
      </c>
      <c r="C9" s="2">
        <f>SUM('Raw Data'!D341:P341)</f>
        <v>2252.5</v>
      </c>
      <c r="D9" s="10">
        <f t="shared" ref="D9:D19" si="0">(C9-C8)/C8</f>
        <v>1.8680781034558635E-3</v>
      </c>
      <c r="E9" s="2">
        <v>155.19999999999999</v>
      </c>
      <c r="F9" s="2">
        <v>210.8</v>
      </c>
      <c r="G9" s="2">
        <v>174.3</v>
      </c>
      <c r="H9" s="2">
        <v>166.3</v>
      </c>
      <c r="I9" s="2">
        <v>202.2</v>
      </c>
      <c r="J9" s="2">
        <v>169.6</v>
      </c>
      <c r="K9" s="2">
        <v>168.6</v>
      </c>
      <c r="L9" s="2">
        <v>164.4</v>
      </c>
      <c r="M9" s="2">
        <v>119.2</v>
      </c>
      <c r="N9" s="2">
        <v>191.8</v>
      </c>
      <c r="O9" s="2">
        <v>174.5</v>
      </c>
      <c r="P9" s="2">
        <v>183.1</v>
      </c>
      <c r="Q9" s="2">
        <v>172.5</v>
      </c>
    </row>
    <row r="10" spans="1:17" x14ac:dyDescent="0.35">
      <c r="A10" s="2">
        <v>2022</v>
      </c>
      <c r="B10" s="2" t="s">
        <v>46</v>
      </c>
      <c r="C10" s="2">
        <f>SUM('Raw Data'!D344:P344)</f>
        <v>2255.7999999999997</v>
      </c>
      <c r="D10" s="10">
        <f t="shared" si="0"/>
        <v>1.4650388457268489E-3</v>
      </c>
      <c r="E10" s="2">
        <v>159.5</v>
      </c>
      <c r="F10" s="2">
        <v>204.1</v>
      </c>
      <c r="G10" s="2">
        <v>168.3</v>
      </c>
      <c r="H10" s="2">
        <v>167.9</v>
      </c>
      <c r="I10" s="2">
        <v>198.1</v>
      </c>
      <c r="J10" s="2">
        <v>169.2</v>
      </c>
      <c r="K10" s="2">
        <v>173.1</v>
      </c>
      <c r="L10" s="2">
        <v>167.1</v>
      </c>
      <c r="M10" s="2">
        <v>120.2</v>
      </c>
      <c r="N10" s="2">
        <v>195.6</v>
      </c>
      <c r="O10" s="2">
        <v>174.8</v>
      </c>
      <c r="P10" s="2">
        <v>184</v>
      </c>
      <c r="Q10" s="2">
        <v>173.9</v>
      </c>
    </row>
    <row r="11" spans="1:17" x14ac:dyDescent="0.35">
      <c r="A11" s="2">
        <v>2022</v>
      </c>
      <c r="B11" s="2" t="s">
        <v>48</v>
      </c>
      <c r="C11" s="2">
        <f>SUM('Raw Data'!D347:P347)</f>
        <v>2267.8000000000002</v>
      </c>
      <c r="D11" s="10">
        <f t="shared" si="0"/>
        <v>5.3196205337354627E-3</v>
      </c>
      <c r="E11" s="2">
        <v>162.9</v>
      </c>
      <c r="F11" s="2">
        <v>206.7</v>
      </c>
      <c r="G11" s="2">
        <v>169</v>
      </c>
      <c r="H11" s="2">
        <v>169.5</v>
      </c>
      <c r="I11" s="2">
        <v>194.1</v>
      </c>
      <c r="J11" s="2">
        <v>164.1</v>
      </c>
      <c r="K11" s="2">
        <v>176.9</v>
      </c>
      <c r="L11" s="2">
        <v>169</v>
      </c>
      <c r="M11" s="2">
        <v>120.8</v>
      </c>
      <c r="N11" s="2">
        <v>199.1</v>
      </c>
      <c r="O11" s="2">
        <v>175.4</v>
      </c>
      <c r="P11" s="2">
        <v>184.8</v>
      </c>
      <c r="Q11" s="2">
        <v>175.5</v>
      </c>
    </row>
    <row r="12" spans="1:17" x14ac:dyDescent="0.35">
      <c r="A12" s="2">
        <v>2022</v>
      </c>
      <c r="B12" s="2" t="s">
        <v>50</v>
      </c>
      <c r="C12" s="2">
        <f>SUM('Raw Data'!D350:P350)</f>
        <v>2284.5</v>
      </c>
      <c r="D12" s="10">
        <f t="shared" si="0"/>
        <v>7.3639650762853063E-3</v>
      </c>
      <c r="E12" s="2">
        <v>164.7</v>
      </c>
      <c r="F12" s="2">
        <v>208.8</v>
      </c>
      <c r="G12" s="2">
        <v>170.3</v>
      </c>
      <c r="H12" s="2">
        <v>170.9</v>
      </c>
      <c r="I12" s="2">
        <v>191.6</v>
      </c>
      <c r="J12" s="2">
        <v>162.19999999999999</v>
      </c>
      <c r="K12" s="2">
        <v>184.8</v>
      </c>
      <c r="L12" s="2">
        <v>169.7</v>
      </c>
      <c r="M12" s="2">
        <v>121.1</v>
      </c>
      <c r="N12" s="2">
        <v>201.6</v>
      </c>
      <c r="O12" s="2">
        <v>175.8</v>
      </c>
      <c r="P12" s="2">
        <v>185.6</v>
      </c>
      <c r="Q12" s="2">
        <v>177.4</v>
      </c>
    </row>
    <row r="13" spans="1:17" x14ac:dyDescent="0.35">
      <c r="A13" s="2">
        <v>2022</v>
      </c>
      <c r="B13" s="2" t="s">
        <v>53</v>
      </c>
      <c r="C13" s="2">
        <f>SUM('Raw Data'!D353:P353)</f>
        <v>2287.6999999999998</v>
      </c>
      <c r="D13" s="10">
        <f t="shared" si="0"/>
        <v>1.4007441453271255E-3</v>
      </c>
      <c r="E13" s="2">
        <v>166.9</v>
      </c>
      <c r="F13" s="2">
        <v>207.2</v>
      </c>
      <c r="G13" s="2">
        <v>180.2</v>
      </c>
      <c r="H13" s="2">
        <v>172.3</v>
      </c>
      <c r="I13" s="2">
        <v>194</v>
      </c>
      <c r="J13" s="2">
        <v>159.1</v>
      </c>
      <c r="K13" s="2">
        <v>171.6</v>
      </c>
      <c r="L13" s="2">
        <v>170.2</v>
      </c>
      <c r="M13" s="2">
        <v>121.5</v>
      </c>
      <c r="N13" s="2">
        <v>204.8</v>
      </c>
      <c r="O13" s="2">
        <v>176.4</v>
      </c>
      <c r="P13" s="2">
        <v>186.9</v>
      </c>
      <c r="Q13" s="2">
        <v>176.6</v>
      </c>
    </row>
    <row r="14" spans="1:17" x14ac:dyDescent="0.35">
      <c r="A14" s="2">
        <v>2022</v>
      </c>
      <c r="B14" s="2" t="s">
        <v>55</v>
      </c>
      <c r="C14" s="2">
        <f>SUM('Raw Data'!D356:P356)</f>
        <v>2277.1</v>
      </c>
      <c r="D14" s="10">
        <f t="shared" si="0"/>
        <v>-4.6334746688813698E-3</v>
      </c>
      <c r="E14" s="2">
        <v>168.8</v>
      </c>
      <c r="F14" s="2">
        <v>206.9</v>
      </c>
      <c r="G14" s="2">
        <v>189.1</v>
      </c>
      <c r="H14" s="2">
        <v>173.4</v>
      </c>
      <c r="I14" s="2">
        <v>193.9</v>
      </c>
      <c r="J14" s="2">
        <v>156.69999999999999</v>
      </c>
      <c r="K14" s="2">
        <v>150.19999999999999</v>
      </c>
      <c r="L14" s="2">
        <v>170.5</v>
      </c>
      <c r="M14" s="2">
        <v>121.2</v>
      </c>
      <c r="N14" s="2">
        <v>207.5</v>
      </c>
      <c r="O14" s="2">
        <v>176.8</v>
      </c>
      <c r="P14" s="2">
        <v>187.7</v>
      </c>
      <c r="Q14" s="2">
        <v>174.4</v>
      </c>
    </row>
    <row r="15" spans="1:17" x14ac:dyDescent="0.35">
      <c r="A15" s="2">
        <v>2023</v>
      </c>
      <c r="B15" s="2" t="s">
        <v>31</v>
      </c>
      <c r="C15" s="2">
        <f>SUM('Raw Data'!D359:P359)</f>
        <v>2283.2000000000003</v>
      </c>
      <c r="D15" s="10">
        <f t="shared" si="0"/>
        <v>2.678845900487622E-3</v>
      </c>
      <c r="E15" s="2">
        <v>174</v>
      </c>
      <c r="F15" s="2">
        <v>208.3</v>
      </c>
      <c r="G15" s="2">
        <v>192.9</v>
      </c>
      <c r="H15" s="2">
        <v>174.3</v>
      </c>
      <c r="I15" s="2">
        <v>192.6</v>
      </c>
      <c r="J15" s="2">
        <v>156.30000000000001</v>
      </c>
      <c r="K15" s="2">
        <v>142.9</v>
      </c>
      <c r="L15" s="2">
        <v>170.7</v>
      </c>
      <c r="M15" s="2">
        <v>120.3</v>
      </c>
      <c r="N15" s="2">
        <v>210.5</v>
      </c>
      <c r="O15" s="2">
        <v>176.9</v>
      </c>
      <c r="P15" s="2">
        <v>188.5</v>
      </c>
      <c r="Q15" s="2">
        <v>175</v>
      </c>
    </row>
    <row r="16" spans="1:17" x14ac:dyDescent="0.35">
      <c r="A16" s="2">
        <v>2023</v>
      </c>
      <c r="B16" s="2" t="s">
        <v>36</v>
      </c>
      <c r="C16" s="2">
        <f>SUM('Raw Data'!D362:P362)</f>
        <v>2265.6999999999998</v>
      </c>
      <c r="D16" s="12">
        <f t="shared" si="0"/>
        <v>-7.6646811492643886E-3</v>
      </c>
      <c r="E16" s="2">
        <v>174.2</v>
      </c>
      <c r="F16" s="2">
        <v>205.2</v>
      </c>
      <c r="G16" s="2">
        <v>173.9</v>
      </c>
      <c r="H16" s="2">
        <v>177</v>
      </c>
      <c r="I16" s="2">
        <v>183.4</v>
      </c>
      <c r="J16" s="2">
        <v>167.2</v>
      </c>
      <c r="K16" s="2">
        <v>140.9</v>
      </c>
      <c r="L16" s="2">
        <v>170.4</v>
      </c>
      <c r="M16" s="2">
        <v>119.1</v>
      </c>
      <c r="N16" s="2">
        <v>212.1</v>
      </c>
      <c r="O16" s="2">
        <v>177.6</v>
      </c>
      <c r="P16" s="2">
        <v>189.9</v>
      </c>
      <c r="Q16" s="2">
        <v>174.8</v>
      </c>
    </row>
    <row r="17" spans="1:17" x14ac:dyDescent="0.35">
      <c r="A17" s="2">
        <v>2023</v>
      </c>
      <c r="B17" s="2" t="s">
        <v>38</v>
      </c>
      <c r="C17" s="2">
        <f>SUM('Raw Data'!D365:P365)</f>
        <v>2265.8000000000002</v>
      </c>
      <c r="D17" s="10">
        <f t="shared" si="0"/>
        <v>4.4136469965292762E-5</v>
      </c>
      <c r="E17" s="2">
        <v>174.3</v>
      </c>
      <c r="F17" s="2">
        <v>205.2</v>
      </c>
      <c r="G17" s="2">
        <v>173.9</v>
      </c>
      <c r="H17" s="2">
        <v>177</v>
      </c>
      <c r="I17" s="2">
        <v>183.3</v>
      </c>
      <c r="J17" s="2">
        <v>167.2</v>
      </c>
      <c r="K17" s="2">
        <v>140.9</v>
      </c>
      <c r="L17" s="2">
        <v>170.5</v>
      </c>
      <c r="M17" s="2">
        <v>119.1</v>
      </c>
      <c r="N17" s="2">
        <v>212.1</v>
      </c>
      <c r="O17" s="2">
        <v>177.6</v>
      </c>
      <c r="P17" s="2">
        <v>189.9</v>
      </c>
      <c r="Q17" s="2">
        <v>174.8</v>
      </c>
    </row>
    <row r="18" spans="1:17" x14ac:dyDescent="0.35">
      <c r="A18" s="2">
        <v>2023</v>
      </c>
      <c r="B18" s="2" t="s">
        <v>39</v>
      </c>
      <c r="C18" s="2">
        <f>SUM('Raw Data'!D368:P368)</f>
        <v>2274.1999999999998</v>
      </c>
      <c r="D18" s="10">
        <f t="shared" si="0"/>
        <v>3.7072998499424643E-3</v>
      </c>
      <c r="E18" s="2">
        <v>173.3</v>
      </c>
      <c r="F18" s="2">
        <v>206.9</v>
      </c>
      <c r="G18" s="2">
        <v>167.9</v>
      </c>
      <c r="H18" s="2">
        <v>178.2</v>
      </c>
      <c r="I18" s="2">
        <v>178.5</v>
      </c>
      <c r="J18" s="2">
        <v>173.7</v>
      </c>
      <c r="K18" s="2">
        <v>142.80000000000001</v>
      </c>
      <c r="L18" s="2">
        <v>172.8</v>
      </c>
      <c r="M18" s="2">
        <v>120.4</v>
      </c>
      <c r="N18" s="2">
        <v>215.5</v>
      </c>
      <c r="O18" s="2">
        <v>178.2</v>
      </c>
      <c r="P18" s="2">
        <v>190.5</v>
      </c>
      <c r="Q18" s="2">
        <v>175.5</v>
      </c>
    </row>
    <row r="19" spans="1:17" x14ac:dyDescent="0.35">
      <c r="A19" s="2">
        <v>2023</v>
      </c>
      <c r="B19" s="2" t="s">
        <v>41</v>
      </c>
      <c r="C19" s="2">
        <f>SUM('Raw Data'!D371:P371)</f>
        <v>2290.7000000000007</v>
      </c>
      <c r="D19" s="10">
        <f t="shared" si="0"/>
        <v>7.2552985665292899E-3</v>
      </c>
      <c r="E19" s="2">
        <v>173.2</v>
      </c>
      <c r="F19" s="2">
        <v>211.5</v>
      </c>
      <c r="G19" s="2">
        <v>171</v>
      </c>
      <c r="H19" s="2">
        <v>179.6</v>
      </c>
      <c r="I19" s="2">
        <v>173.3</v>
      </c>
      <c r="J19" s="2">
        <v>169</v>
      </c>
      <c r="K19" s="2">
        <v>148.69999999999999</v>
      </c>
      <c r="L19" s="2">
        <v>174.9</v>
      </c>
      <c r="M19" s="2">
        <v>121.9</v>
      </c>
      <c r="N19" s="2">
        <v>221</v>
      </c>
      <c r="O19" s="2">
        <v>178.7</v>
      </c>
      <c r="P19" s="2">
        <v>191.1</v>
      </c>
      <c r="Q19" s="2">
        <v>176.8</v>
      </c>
    </row>
    <row r="22" spans="1:17" x14ac:dyDescent="0.35">
      <c r="A22" s="4" t="s">
        <v>33</v>
      </c>
    </row>
    <row r="23" spans="1:17" x14ac:dyDescent="0.35">
      <c r="A23" s="45" t="s">
        <v>197</v>
      </c>
    </row>
    <row r="24" spans="1:17" ht="15" x14ac:dyDescent="0.35">
      <c r="A24" s="1" t="s">
        <v>1</v>
      </c>
      <c r="B24" s="1" t="s">
        <v>2</v>
      </c>
      <c r="C24" s="1" t="s">
        <v>198</v>
      </c>
      <c r="D24" s="1" t="s">
        <v>199</v>
      </c>
      <c r="E24" s="1" t="s">
        <v>3</v>
      </c>
      <c r="F24" s="1" t="s">
        <v>4</v>
      </c>
      <c r="G24" s="1" t="s">
        <v>5</v>
      </c>
      <c r="H24" s="1" t="s">
        <v>6</v>
      </c>
      <c r="I24" s="1" t="s">
        <v>7</v>
      </c>
      <c r="J24" s="1" t="s">
        <v>8</v>
      </c>
      <c r="K24" s="1" t="s">
        <v>9</v>
      </c>
      <c r="L24" s="1" t="s">
        <v>10</v>
      </c>
      <c r="M24" s="1" t="s">
        <v>11</v>
      </c>
      <c r="N24" s="1" t="s">
        <v>12</v>
      </c>
      <c r="O24" s="1" t="s">
        <v>13</v>
      </c>
      <c r="P24" s="1" t="s">
        <v>14</v>
      </c>
      <c r="Q24" s="1" t="s">
        <v>15</v>
      </c>
    </row>
    <row r="25" spans="1:17" x14ac:dyDescent="0.35">
      <c r="A25" s="2">
        <v>2022</v>
      </c>
      <c r="B25" s="2" t="s">
        <v>41</v>
      </c>
      <c r="C25" s="2">
        <f t="shared" ref="C25:C37" si="1">SUM(E25:Q25)</f>
        <v>2262.2000000000003</v>
      </c>
      <c r="D25" s="2"/>
      <c r="E25" s="2">
        <v>156.69999999999999</v>
      </c>
      <c r="F25" s="2">
        <v>221.2</v>
      </c>
      <c r="G25" s="2">
        <v>164.1</v>
      </c>
      <c r="H25" s="2">
        <v>165.4</v>
      </c>
      <c r="I25" s="2">
        <v>189.5</v>
      </c>
      <c r="J25" s="2">
        <v>174.5</v>
      </c>
      <c r="K25" s="2">
        <v>203.2</v>
      </c>
      <c r="L25" s="2">
        <v>164.1</v>
      </c>
      <c r="M25" s="2">
        <v>121.2</v>
      </c>
      <c r="N25" s="2">
        <v>181.4</v>
      </c>
      <c r="O25" s="2">
        <v>158.5</v>
      </c>
      <c r="P25" s="2">
        <v>184.9</v>
      </c>
      <c r="Q25" s="2">
        <v>177.5</v>
      </c>
    </row>
    <row r="26" spans="1:17" x14ac:dyDescent="0.35">
      <c r="A26" s="2">
        <v>2022</v>
      </c>
      <c r="B26" s="2" t="s">
        <v>42</v>
      </c>
      <c r="C26" s="2">
        <f t="shared" si="1"/>
        <v>2287.5</v>
      </c>
      <c r="D26" s="83">
        <f>(C26-C25)/C25</f>
        <v>1.1183803377243269E-2</v>
      </c>
      <c r="E26" s="2">
        <v>157.5</v>
      </c>
      <c r="F26" s="2">
        <v>223.4</v>
      </c>
      <c r="G26" s="2">
        <v>172.8</v>
      </c>
      <c r="H26" s="2">
        <v>166.4</v>
      </c>
      <c r="I26" s="2">
        <v>188.6</v>
      </c>
      <c r="J26" s="2">
        <v>174.1</v>
      </c>
      <c r="K26" s="2">
        <v>211.5</v>
      </c>
      <c r="L26" s="2">
        <v>163.6</v>
      </c>
      <c r="M26" s="2">
        <v>121.4</v>
      </c>
      <c r="N26" s="2">
        <v>183.5</v>
      </c>
      <c r="O26" s="2">
        <v>159.1</v>
      </c>
      <c r="P26" s="2">
        <v>186.3</v>
      </c>
      <c r="Q26" s="2">
        <v>179.3</v>
      </c>
    </row>
    <row r="27" spans="1:17" x14ac:dyDescent="0.35">
      <c r="A27" s="2">
        <v>2022</v>
      </c>
      <c r="B27" s="2" t="s">
        <v>44</v>
      </c>
      <c r="C27" s="2">
        <f t="shared" si="1"/>
        <v>2291.6</v>
      </c>
      <c r="D27" s="10">
        <f t="shared" ref="D27:D37" si="2">(C27-C26)/C26</f>
        <v>1.7923497267759165E-3</v>
      </c>
      <c r="E27" s="2">
        <v>159.30000000000001</v>
      </c>
      <c r="F27" s="2">
        <v>217.1</v>
      </c>
      <c r="G27" s="2">
        <v>176.6</v>
      </c>
      <c r="H27" s="2">
        <v>167.1</v>
      </c>
      <c r="I27" s="2">
        <v>184.8</v>
      </c>
      <c r="J27" s="2">
        <v>179.5</v>
      </c>
      <c r="K27" s="2">
        <v>208.5</v>
      </c>
      <c r="L27" s="2">
        <v>164</v>
      </c>
      <c r="M27" s="2">
        <v>121.5</v>
      </c>
      <c r="N27" s="2">
        <v>186.3</v>
      </c>
      <c r="O27" s="2">
        <v>159.80000000000001</v>
      </c>
      <c r="P27" s="2">
        <v>187.7</v>
      </c>
      <c r="Q27" s="2">
        <v>179.4</v>
      </c>
    </row>
    <row r="28" spans="1:17" x14ac:dyDescent="0.35">
      <c r="A28" s="2">
        <v>2022</v>
      </c>
      <c r="B28" s="2" t="s">
        <v>46</v>
      </c>
      <c r="C28" s="2">
        <f t="shared" si="1"/>
        <v>2293.6999999999998</v>
      </c>
      <c r="D28" s="10">
        <f t="shared" si="2"/>
        <v>9.1639029499036005E-4</v>
      </c>
      <c r="E28" s="2">
        <v>162.1</v>
      </c>
      <c r="F28" s="2">
        <v>210.9</v>
      </c>
      <c r="G28" s="2">
        <v>170.6</v>
      </c>
      <c r="H28" s="2">
        <v>168.4</v>
      </c>
      <c r="I28" s="2">
        <v>182.5</v>
      </c>
      <c r="J28" s="2">
        <v>177.1</v>
      </c>
      <c r="K28" s="2">
        <v>213.1</v>
      </c>
      <c r="L28" s="2">
        <v>167.3</v>
      </c>
      <c r="M28" s="2">
        <v>122.2</v>
      </c>
      <c r="N28" s="2">
        <v>189.7</v>
      </c>
      <c r="O28" s="2">
        <v>160.5</v>
      </c>
      <c r="P28" s="2">
        <v>188.9</v>
      </c>
      <c r="Q28" s="2">
        <v>180.4</v>
      </c>
    </row>
    <row r="29" spans="1:17" x14ac:dyDescent="0.35">
      <c r="A29" s="2">
        <v>2022</v>
      </c>
      <c r="B29" s="2" t="s">
        <v>48</v>
      </c>
      <c r="C29" s="2">
        <f t="shared" si="1"/>
        <v>2306.4</v>
      </c>
      <c r="D29" s="10">
        <f t="shared" si="2"/>
        <v>5.5369054366308902E-3</v>
      </c>
      <c r="E29" s="2">
        <v>164.9</v>
      </c>
      <c r="F29" s="2">
        <v>213.7</v>
      </c>
      <c r="G29" s="2">
        <v>170.9</v>
      </c>
      <c r="H29" s="2">
        <v>170.1</v>
      </c>
      <c r="I29" s="2">
        <v>179.3</v>
      </c>
      <c r="J29" s="2">
        <v>167.5</v>
      </c>
      <c r="K29" s="2">
        <v>220.8</v>
      </c>
      <c r="L29" s="2">
        <v>169.2</v>
      </c>
      <c r="M29" s="2">
        <v>123.1</v>
      </c>
      <c r="N29" s="2">
        <v>193.6</v>
      </c>
      <c r="O29" s="2">
        <v>161.1</v>
      </c>
      <c r="P29" s="2">
        <v>190.4</v>
      </c>
      <c r="Q29" s="2">
        <v>181.8</v>
      </c>
    </row>
    <row r="30" spans="1:17" x14ac:dyDescent="0.35">
      <c r="A30" s="2">
        <v>2022</v>
      </c>
      <c r="B30" s="2" t="s">
        <v>50</v>
      </c>
      <c r="C30" s="2">
        <f t="shared" si="1"/>
        <v>2322.3000000000002</v>
      </c>
      <c r="D30" s="10">
        <f t="shared" si="2"/>
        <v>6.8938605619147117E-3</v>
      </c>
      <c r="E30" s="2">
        <v>166.4</v>
      </c>
      <c r="F30" s="2">
        <v>214.9</v>
      </c>
      <c r="G30" s="2">
        <v>171.9</v>
      </c>
      <c r="H30" s="2">
        <v>171</v>
      </c>
      <c r="I30" s="2">
        <v>177.7</v>
      </c>
      <c r="J30" s="2">
        <v>165.7</v>
      </c>
      <c r="K30" s="2">
        <v>228.6</v>
      </c>
      <c r="L30" s="2">
        <v>169.9</v>
      </c>
      <c r="M30" s="2">
        <v>123.4</v>
      </c>
      <c r="N30" s="2">
        <v>196.4</v>
      </c>
      <c r="O30" s="2">
        <v>161.6</v>
      </c>
      <c r="P30" s="2">
        <v>191.5</v>
      </c>
      <c r="Q30" s="2">
        <v>183.3</v>
      </c>
    </row>
    <row r="31" spans="1:17" x14ac:dyDescent="0.35">
      <c r="A31" s="2">
        <v>2022</v>
      </c>
      <c r="B31" s="2" t="s">
        <v>53</v>
      </c>
      <c r="C31" s="2">
        <f t="shared" si="1"/>
        <v>2314.4</v>
      </c>
      <c r="D31" s="10">
        <f t="shared" si="2"/>
        <v>-3.4017999397149765E-3</v>
      </c>
      <c r="E31" s="2">
        <v>168.4</v>
      </c>
      <c r="F31" s="2">
        <v>213.4</v>
      </c>
      <c r="G31" s="2">
        <v>183.2</v>
      </c>
      <c r="H31" s="2">
        <v>172.3</v>
      </c>
      <c r="I31" s="2">
        <v>180</v>
      </c>
      <c r="J31" s="2">
        <v>162.6</v>
      </c>
      <c r="K31" s="2">
        <v>205.5</v>
      </c>
      <c r="L31" s="2">
        <v>171</v>
      </c>
      <c r="M31" s="2">
        <v>123.4</v>
      </c>
      <c r="N31" s="2">
        <v>198.8</v>
      </c>
      <c r="O31" s="2">
        <v>162.1</v>
      </c>
      <c r="P31" s="2">
        <v>192.4</v>
      </c>
      <c r="Q31" s="2">
        <v>181.3</v>
      </c>
    </row>
    <row r="32" spans="1:17" x14ac:dyDescent="0.35">
      <c r="A32" s="2">
        <v>2022</v>
      </c>
      <c r="B32" s="2" t="s">
        <v>55</v>
      </c>
      <c r="C32" s="2">
        <f t="shared" si="1"/>
        <v>2295.7999999999997</v>
      </c>
      <c r="D32" s="12">
        <f t="shared" si="2"/>
        <v>-8.0366401659178899E-3</v>
      </c>
      <c r="E32" s="2">
        <v>170.2</v>
      </c>
      <c r="F32" s="2">
        <v>212.9</v>
      </c>
      <c r="G32" s="2">
        <v>191.9</v>
      </c>
      <c r="H32" s="2">
        <v>173.9</v>
      </c>
      <c r="I32" s="2">
        <v>179.1</v>
      </c>
      <c r="J32" s="2">
        <v>159.5</v>
      </c>
      <c r="K32" s="2">
        <v>178.7</v>
      </c>
      <c r="L32" s="2">
        <v>171.3</v>
      </c>
      <c r="M32" s="2">
        <v>123.1</v>
      </c>
      <c r="N32" s="2">
        <v>200.5</v>
      </c>
      <c r="O32" s="2">
        <v>162.80000000000001</v>
      </c>
      <c r="P32" s="2">
        <v>193.3</v>
      </c>
      <c r="Q32" s="2">
        <v>178.6</v>
      </c>
    </row>
    <row r="33" spans="1:17" x14ac:dyDescent="0.35">
      <c r="A33" s="2">
        <v>2023</v>
      </c>
      <c r="B33" s="2" t="s">
        <v>31</v>
      </c>
      <c r="C33" s="2">
        <f t="shared" si="1"/>
        <v>2310.2000000000003</v>
      </c>
      <c r="D33" s="10">
        <f t="shared" si="2"/>
        <v>6.2723233731163631E-3</v>
      </c>
      <c r="E33" s="2">
        <v>173.3</v>
      </c>
      <c r="F33" s="2">
        <v>215.2</v>
      </c>
      <c r="G33" s="2">
        <v>197</v>
      </c>
      <c r="H33" s="2">
        <v>175.2</v>
      </c>
      <c r="I33" s="2">
        <v>178</v>
      </c>
      <c r="J33" s="2">
        <v>160.5</v>
      </c>
      <c r="K33" s="2">
        <v>175.3</v>
      </c>
      <c r="L33" s="2">
        <v>171.2</v>
      </c>
      <c r="M33" s="2">
        <v>122.7</v>
      </c>
      <c r="N33" s="2">
        <v>204.3</v>
      </c>
      <c r="O33" s="2">
        <v>163.69999999999999</v>
      </c>
      <c r="P33" s="2">
        <v>194.3</v>
      </c>
      <c r="Q33" s="2">
        <v>179.5</v>
      </c>
    </row>
    <row r="34" spans="1:17" x14ac:dyDescent="0.35">
      <c r="A34" s="2">
        <v>2023</v>
      </c>
      <c r="B34" s="2" t="s">
        <v>36</v>
      </c>
      <c r="C34" s="2">
        <f t="shared" si="1"/>
        <v>2303.1999999999998</v>
      </c>
      <c r="D34" s="10">
        <f t="shared" si="2"/>
        <v>-3.0300406891180217E-3</v>
      </c>
      <c r="E34" s="2">
        <v>174.7</v>
      </c>
      <c r="F34" s="2">
        <v>212.2</v>
      </c>
      <c r="G34" s="2">
        <v>177.2</v>
      </c>
      <c r="H34" s="2">
        <v>177.9</v>
      </c>
      <c r="I34" s="2">
        <v>172.2</v>
      </c>
      <c r="J34" s="2">
        <v>172.1</v>
      </c>
      <c r="K34" s="2">
        <v>175.8</v>
      </c>
      <c r="L34" s="2">
        <v>172.2</v>
      </c>
      <c r="M34" s="2">
        <v>121.9</v>
      </c>
      <c r="N34" s="2">
        <v>204.8</v>
      </c>
      <c r="O34" s="2">
        <v>164.9</v>
      </c>
      <c r="P34" s="2">
        <v>196.6</v>
      </c>
      <c r="Q34" s="2">
        <v>180.7</v>
      </c>
    </row>
    <row r="35" spans="1:17" x14ac:dyDescent="0.35">
      <c r="A35" s="2">
        <v>2023</v>
      </c>
      <c r="B35" s="2" t="s">
        <v>38</v>
      </c>
      <c r="C35" s="2">
        <f t="shared" si="1"/>
        <v>2303.4</v>
      </c>
      <c r="D35" s="10">
        <f t="shared" si="2"/>
        <v>8.6835706842772171E-5</v>
      </c>
      <c r="E35" s="2">
        <v>174.7</v>
      </c>
      <c r="F35" s="2">
        <v>212.2</v>
      </c>
      <c r="G35" s="2">
        <v>177.2</v>
      </c>
      <c r="H35" s="2">
        <v>177.9</v>
      </c>
      <c r="I35" s="2">
        <v>172.2</v>
      </c>
      <c r="J35" s="2">
        <v>172.1</v>
      </c>
      <c r="K35" s="2">
        <v>175.9</v>
      </c>
      <c r="L35" s="2">
        <v>172.2</v>
      </c>
      <c r="M35" s="2">
        <v>121.9</v>
      </c>
      <c r="N35" s="2">
        <v>204.8</v>
      </c>
      <c r="O35" s="2">
        <v>164.9</v>
      </c>
      <c r="P35" s="2">
        <v>196.6</v>
      </c>
      <c r="Q35" s="2">
        <v>180.8</v>
      </c>
    </row>
    <row r="36" spans="1:17" x14ac:dyDescent="0.35">
      <c r="A36" s="2">
        <v>2023</v>
      </c>
      <c r="B36" s="2" t="s">
        <v>39</v>
      </c>
      <c r="C36" s="2">
        <f t="shared" si="1"/>
        <v>2317.7000000000003</v>
      </c>
      <c r="D36" s="10">
        <f t="shared" si="2"/>
        <v>6.2082139446037084E-3</v>
      </c>
      <c r="E36" s="2">
        <v>174.8</v>
      </c>
      <c r="F36" s="2">
        <v>213.7</v>
      </c>
      <c r="G36" s="2">
        <v>172.4</v>
      </c>
      <c r="H36" s="2">
        <v>178.8</v>
      </c>
      <c r="I36" s="2">
        <v>168.7</v>
      </c>
      <c r="J36" s="2">
        <v>179.2</v>
      </c>
      <c r="K36" s="2">
        <v>179.9</v>
      </c>
      <c r="L36" s="2">
        <v>174.7</v>
      </c>
      <c r="M36" s="2">
        <v>123.1</v>
      </c>
      <c r="N36" s="2">
        <v>207.8</v>
      </c>
      <c r="O36" s="2">
        <v>165.5</v>
      </c>
      <c r="P36" s="2">
        <v>197</v>
      </c>
      <c r="Q36" s="2">
        <v>182.1</v>
      </c>
    </row>
    <row r="37" spans="1:17" x14ac:dyDescent="0.35">
      <c r="A37" s="2">
        <v>2023</v>
      </c>
      <c r="B37" s="2" t="s">
        <v>41</v>
      </c>
      <c r="C37" s="2">
        <f t="shared" si="1"/>
        <v>2335.1</v>
      </c>
      <c r="D37" s="10">
        <f t="shared" si="2"/>
        <v>7.5074427233894096E-3</v>
      </c>
      <c r="E37" s="2">
        <v>174.7</v>
      </c>
      <c r="F37" s="2">
        <v>219.4</v>
      </c>
      <c r="G37" s="2">
        <v>176.7</v>
      </c>
      <c r="H37" s="2">
        <v>179.4</v>
      </c>
      <c r="I37" s="2">
        <v>164.4</v>
      </c>
      <c r="J37" s="2">
        <v>175.8</v>
      </c>
      <c r="K37" s="2">
        <v>185</v>
      </c>
      <c r="L37" s="2">
        <v>176.9</v>
      </c>
      <c r="M37" s="2">
        <v>124.2</v>
      </c>
      <c r="N37" s="2">
        <v>211.9</v>
      </c>
      <c r="O37" s="2">
        <v>165.9</v>
      </c>
      <c r="P37" s="2">
        <v>197.7</v>
      </c>
      <c r="Q37" s="2">
        <v>183.1</v>
      </c>
    </row>
    <row r="40" spans="1:17" x14ac:dyDescent="0.35">
      <c r="A40" s="4" t="s">
        <v>35</v>
      </c>
    </row>
    <row r="41" spans="1:17" x14ac:dyDescent="0.35">
      <c r="A41" s="43" t="s">
        <v>197</v>
      </c>
    </row>
    <row r="42" spans="1:17" ht="15" x14ac:dyDescent="0.35">
      <c r="A42" s="1" t="s">
        <v>1</v>
      </c>
      <c r="B42" s="1" t="s">
        <v>2</v>
      </c>
      <c r="C42" s="1" t="s">
        <v>198</v>
      </c>
      <c r="D42" s="1" t="s">
        <v>199</v>
      </c>
      <c r="E42" s="1" t="s">
        <v>3</v>
      </c>
      <c r="F42" s="1" t="s">
        <v>4</v>
      </c>
      <c r="G42" s="1" t="s">
        <v>5</v>
      </c>
      <c r="H42" s="1" t="s">
        <v>6</v>
      </c>
      <c r="I42" s="1" t="s">
        <v>7</v>
      </c>
      <c r="J42" s="1" t="s">
        <v>8</v>
      </c>
      <c r="K42" s="1" t="s">
        <v>9</v>
      </c>
      <c r="L42" s="1" t="s">
        <v>10</v>
      </c>
      <c r="M42" s="1" t="s">
        <v>11</v>
      </c>
      <c r="N42" s="1" t="s">
        <v>12</v>
      </c>
      <c r="O42" s="1" t="s">
        <v>13</v>
      </c>
      <c r="P42" s="1" t="s">
        <v>14</v>
      </c>
      <c r="Q42" s="1" t="s">
        <v>15</v>
      </c>
    </row>
    <row r="43" spans="1:17" x14ac:dyDescent="0.35">
      <c r="A43" s="2">
        <v>2022</v>
      </c>
      <c r="B43" s="2" t="s">
        <v>41</v>
      </c>
      <c r="C43" s="2">
        <f t="shared" ref="C43:C55" si="3">SUM(E43:Q43)</f>
        <v>2238.9000000000005</v>
      </c>
      <c r="D43" s="10"/>
      <c r="E43" s="2">
        <v>154.1</v>
      </c>
      <c r="F43" s="2">
        <v>217</v>
      </c>
      <c r="G43" s="2">
        <v>162.4</v>
      </c>
      <c r="H43" s="2">
        <v>164.9</v>
      </c>
      <c r="I43" s="2">
        <v>202.4</v>
      </c>
      <c r="J43" s="2">
        <v>171</v>
      </c>
      <c r="K43" s="2">
        <v>174.9</v>
      </c>
      <c r="L43" s="2">
        <v>164.7</v>
      </c>
      <c r="M43" s="2">
        <v>119.7</v>
      </c>
      <c r="N43" s="2">
        <v>184.9</v>
      </c>
      <c r="O43" s="2">
        <v>167.1</v>
      </c>
      <c r="P43" s="2">
        <v>182.5</v>
      </c>
      <c r="Q43" s="2">
        <v>173.3</v>
      </c>
    </row>
    <row r="44" spans="1:17" x14ac:dyDescent="0.35">
      <c r="A44" s="2">
        <v>2022</v>
      </c>
      <c r="B44" s="2" t="s">
        <v>42</v>
      </c>
      <c r="C44" s="2">
        <f t="shared" si="3"/>
        <v>2261.9</v>
      </c>
      <c r="D44" s="83">
        <f>(C44-C43)/C43</f>
        <v>1.0272901871454526E-2</v>
      </c>
      <c r="E44" s="2">
        <v>155</v>
      </c>
      <c r="F44" s="2">
        <v>219.4</v>
      </c>
      <c r="G44" s="2">
        <v>170.8</v>
      </c>
      <c r="H44" s="2">
        <v>165.8</v>
      </c>
      <c r="I44" s="2">
        <v>200.9</v>
      </c>
      <c r="J44" s="2">
        <v>169.7</v>
      </c>
      <c r="K44" s="2">
        <v>182.3</v>
      </c>
      <c r="L44" s="2">
        <v>164.3</v>
      </c>
      <c r="M44" s="2">
        <v>119.9</v>
      </c>
      <c r="N44" s="2">
        <v>187.1</v>
      </c>
      <c r="O44" s="2">
        <v>167.9</v>
      </c>
      <c r="P44" s="2">
        <v>183.9</v>
      </c>
      <c r="Q44" s="2">
        <v>174.9</v>
      </c>
    </row>
    <row r="45" spans="1:17" x14ac:dyDescent="0.35">
      <c r="A45" s="2">
        <v>2022</v>
      </c>
      <c r="B45" s="2" t="s">
        <v>44</v>
      </c>
      <c r="C45" s="2">
        <f t="shared" si="3"/>
        <v>2266.3000000000002</v>
      </c>
      <c r="D45" s="10">
        <f t="shared" ref="D45:D55" si="4">(C45-C44)/C44</f>
        <v>1.9452672531942573E-3</v>
      </c>
      <c r="E45" s="2">
        <v>156.5</v>
      </c>
      <c r="F45" s="2">
        <v>213</v>
      </c>
      <c r="G45" s="2">
        <v>175.2</v>
      </c>
      <c r="H45" s="2">
        <v>166.6</v>
      </c>
      <c r="I45" s="2">
        <v>195.8</v>
      </c>
      <c r="J45" s="2">
        <v>174.2</v>
      </c>
      <c r="K45" s="2">
        <v>182.1</v>
      </c>
      <c r="L45" s="2">
        <v>164.3</v>
      </c>
      <c r="M45" s="2">
        <v>120</v>
      </c>
      <c r="N45" s="2">
        <v>190</v>
      </c>
      <c r="O45" s="2">
        <v>168.4</v>
      </c>
      <c r="P45" s="2">
        <v>185.2</v>
      </c>
      <c r="Q45" s="2">
        <v>175</v>
      </c>
    </row>
    <row r="46" spans="1:17" x14ac:dyDescent="0.35">
      <c r="A46" s="2">
        <v>2022</v>
      </c>
      <c r="B46" s="2" t="s">
        <v>46</v>
      </c>
      <c r="C46" s="2">
        <f t="shared" si="3"/>
        <v>2269.2000000000003</v>
      </c>
      <c r="D46" s="10">
        <f t="shared" si="4"/>
        <v>1.279618761858576E-3</v>
      </c>
      <c r="E46" s="2">
        <v>160.30000000000001</v>
      </c>
      <c r="F46" s="2">
        <v>206.5</v>
      </c>
      <c r="G46" s="2">
        <v>169.2</v>
      </c>
      <c r="H46" s="2">
        <v>168.1</v>
      </c>
      <c r="I46" s="2">
        <v>192.4</v>
      </c>
      <c r="J46" s="2">
        <v>172.9</v>
      </c>
      <c r="K46" s="2">
        <v>186.7</v>
      </c>
      <c r="L46" s="2">
        <v>167.2</v>
      </c>
      <c r="M46" s="2">
        <v>120.9</v>
      </c>
      <c r="N46" s="2">
        <v>193.6</v>
      </c>
      <c r="O46" s="2">
        <v>168.8</v>
      </c>
      <c r="P46" s="2">
        <v>186.3</v>
      </c>
      <c r="Q46" s="2">
        <v>176.3</v>
      </c>
    </row>
    <row r="47" spans="1:17" x14ac:dyDescent="0.35">
      <c r="A47" s="2">
        <v>2022</v>
      </c>
      <c r="B47" s="2" t="s">
        <v>48</v>
      </c>
      <c r="C47" s="2">
        <f t="shared" si="3"/>
        <v>2280.9</v>
      </c>
      <c r="D47" s="10">
        <f t="shared" si="4"/>
        <v>5.1560021152828386E-3</v>
      </c>
      <c r="E47" s="2">
        <v>163.5</v>
      </c>
      <c r="F47" s="2">
        <v>209.2</v>
      </c>
      <c r="G47" s="2">
        <v>169.7</v>
      </c>
      <c r="H47" s="2">
        <v>169.7</v>
      </c>
      <c r="I47" s="2">
        <v>188.7</v>
      </c>
      <c r="J47" s="2">
        <v>165.7</v>
      </c>
      <c r="K47" s="2">
        <v>191.8</v>
      </c>
      <c r="L47" s="2">
        <v>169.1</v>
      </c>
      <c r="M47" s="2">
        <v>121.6</v>
      </c>
      <c r="N47" s="2">
        <v>197.3</v>
      </c>
      <c r="O47" s="2">
        <v>169.4</v>
      </c>
      <c r="P47" s="2">
        <v>187.4</v>
      </c>
      <c r="Q47" s="2">
        <v>177.8</v>
      </c>
    </row>
    <row r="48" spans="1:17" x14ac:dyDescent="0.35">
      <c r="A48" s="2">
        <v>2022</v>
      </c>
      <c r="B48" s="2" t="s">
        <v>50</v>
      </c>
      <c r="C48" s="2">
        <f t="shared" si="3"/>
        <v>2297.3000000000002</v>
      </c>
      <c r="D48" s="10">
        <f t="shared" si="4"/>
        <v>7.1901442413082953E-3</v>
      </c>
      <c r="E48" s="2">
        <v>165.2</v>
      </c>
      <c r="F48" s="2">
        <v>210.9</v>
      </c>
      <c r="G48" s="2">
        <v>170.9</v>
      </c>
      <c r="H48" s="2">
        <v>170.9</v>
      </c>
      <c r="I48" s="2">
        <v>186.5</v>
      </c>
      <c r="J48" s="2">
        <v>163.80000000000001</v>
      </c>
      <c r="K48" s="2">
        <v>199.7</v>
      </c>
      <c r="L48" s="2">
        <v>169.8</v>
      </c>
      <c r="M48" s="2">
        <v>121.9</v>
      </c>
      <c r="N48" s="2">
        <v>199.9</v>
      </c>
      <c r="O48" s="2">
        <v>169.9</v>
      </c>
      <c r="P48" s="2">
        <v>188.3</v>
      </c>
      <c r="Q48" s="2">
        <v>179.6</v>
      </c>
    </row>
    <row r="49" spans="1:17" x14ac:dyDescent="0.35">
      <c r="A49" s="2">
        <v>2022</v>
      </c>
      <c r="B49" s="2" t="s">
        <v>53</v>
      </c>
      <c r="C49" s="2">
        <f t="shared" si="3"/>
        <v>2296.8000000000002</v>
      </c>
      <c r="D49" s="10">
        <f t="shared" si="4"/>
        <v>-2.1764680276846731E-4</v>
      </c>
      <c r="E49" s="2">
        <v>167.4</v>
      </c>
      <c r="F49" s="2">
        <v>209.4</v>
      </c>
      <c r="G49" s="2">
        <v>181.4</v>
      </c>
      <c r="H49" s="2">
        <v>172.3</v>
      </c>
      <c r="I49" s="2">
        <v>188.9</v>
      </c>
      <c r="J49" s="2">
        <v>160.69999999999999</v>
      </c>
      <c r="K49" s="2">
        <v>183.1</v>
      </c>
      <c r="L49" s="2">
        <v>170.5</v>
      </c>
      <c r="M49" s="2">
        <v>122.1</v>
      </c>
      <c r="N49" s="2">
        <v>202.8</v>
      </c>
      <c r="O49" s="2">
        <v>170.4</v>
      </c>
      <c r="P49" s="2">
        <v>189.5</v>
      </c>
      <c r="Q49" s="2">
        <v>178.3</v>
      </c>
    </row>
    <row r="50" spans="1:17" x14ac:dyDescent="0.35">
      <c r="A50" s="2">
        <v>2022</v>
      </c>
      <c r="B50" s="2" t="s">
        <v>55</v>
      </c>
      <c r="C50" s="2">
        <f t="shared" si="3"/>
        <v>2283.4</v>
      </c>
      <c r="D50" s="12">
        <f t="shared" si="4"/>
        <v>-5.8342041100662182E-3</v>
      </c>
      <c r="E50" s="2">
        <v>169.2</v>
      </c>
      <c r="F50" s="2">
        <v>209</v>
      </c>
      <c r="G50" s="2">
        <v>190.2</v>
      </c>
      <c r="H50" s="2">
        <v>173.6</v>
      </c>
      <c r="I50" s="2">
        <v>188.5</v>
      </c>
      <c r="J50" s="2">
        <v>158</v>
      </c>
      <c r="K50" s="2">
        <v>159.9</v>
      </c>
      <c r="L50" s="2">
        <v>170.8</v>
      </c>
      <c r="M50" s="2">
        <v>121.8</v>
      </c>
      <c r="N50" s="2">
        <v>205.2</v>
      </c>
      <c r="O50" s="2">
        <v>171</v>
      </c>
      <c r="P50" s="2">
        <v>190.3</v>
      </c>
      <c r="Q50" s="2">
        <v>175.9</v>
      </c>
    </row>
    <row r="51" spans="1:17" x14ac:dyDescent="0.35">
      <c r="A51" s="2">
        <v>2023</v>
      </c>
      <c r="B51" s="2" t="s">
        <v>31</v>
      </c>
      <c r="C51" s="2">
        <f t="shared" si="3"/>
        <v>2292.6999999999998</v>
      </c>
      <c r="D51" s="10">
        <f t="shared" si="4"/>
        <v>4.0728737847068961E-3</v>
      </c>
      <c r="E51" s="2">
        <v>173.8</v>
      </c>
      <c r="F51" s="2">
        <v>210.7</v>
      </c>
      <c r="G51" s="2">
        <v>194.5</v>
      </c>
      <c r="H51" s="2">
        <v>174.6</v>
      </c>
      <c r="I51" s="2">
        <v>187.2</v>
      </c>
      <c r="J51" s="2">
        <v>158.30000000000001</v>
      </c>
      <c r="K51" s="2">
        <v>153.9</v>
      </c>
      <c r="L51" s="2">
        <v>170.9</v>
      </c>
      <c r="M51" s="2">
        <v>121.1</v>
      </c>
      <c r="N51" s="2">
        <v>208.4</v>
      </c>
      <c r="O51" s="2">
        <v>171.4</v>
      </c>
      <c r="P51" s="2">
        <v>191.2</v>
      </c>
      <c r="Q51" s="2">
        <v>176.7</v>
      </c>
    </row>
    <row r="52" spans="1:17" x14ac:dyDescent="0.35">
      <c r="A52" s="2">
        <v>2023</v>
      </c>
      <c r="B52" s="2" t="s">
        <v>36</v>
      </c>
      <c r="C52" s="2">
        <f t="shared" si="3"/>
        <v>2279.1</v>
      </c>
      <c r="D52" s="12">
        <f t="shared" si="4"/>
        <v>-5.9318707201116193E-3</v>
      </c>
      <c r="E52" s="2">
        <v>174.4</v>
      </c>
      <c r="F52" s="2">
        <v>207.7</v>
      </c>
      <c r="G52" s="2">
        <v>175.2</v>
      </c>
      <c r="H52" s="2">
        <v>177.3</v>
      </c>
      <c r="I52" s="2">
        <v>179.3</v>
      </c>
      <c r="J52" s="2">
        <v>169.5</v>
      </c>
      <c r="K52" s="2">
        <v>152.69999999999999</v>
      </c>
      <c r="L52" s="2">
        <v>171</v>
      </c>
      <c r="M52" s="2">
        <v>120</v>
      </c>
      <c r="N52" s="2">
        <v>209.7</v>
      </c>
      <c r="O52" s="2">
        <v>172.3</v>
      </c>
      <c r="P52" s="2">
        <v>193</v>
      </c>
      <c r="Q52" s="2">
        <v>177</v>
      </c>
    </row>
    <row r="53" spans="1:17" x14ac:dyDescent="0.35">
      <c r="A53" s="2">
        <v>2023</v>
      </c>
      <c r="B53" s="2" t="s">
        <v>38</v>
      </c>
      <c r="C53" s="2">
        <f t="shared" si="3"/>
        <v>2279.1999999999998</v>
      </c>
      <c r="D53" s="10">
        <f t="shared" si="4"/>
        <v>4.3876968978943027E-5</v>
      </c>
      <c r="E53" s="2">
        <v>174.4</v>
      </c>
      <c r="F53" s="2">
        <v>207.7</v>
      </c>
      <c r="G53" s="2">
        <v>175.2</v>
      </c>
      <c r="H53" s="2">
        <v>177.3</v>
      </c>
      <c r="I53" s="2">
        <v>179.2</v>
      </c>
      <c r="J53" s="2">
        <v>169.5</v>
      </c>
      <c r="K53" s="2">
        <v>152.80000000000001</v>
      </c>
      <c r="L53" s="2">
        <v>171.1</v>
      </c>
      <c r="M53" s="2">
        <v>120</v>
      </c>
      <c r="N53" s="2">
        <v>209.7</v>
      </c>
      <c r="O53" s="2">
        <v>172.3</v>
      </c>
      <c r="P53" s="2">
        <v>193</v>
      </c>
      <c r="Q53" s="2">
        <v>177</v>
      </c>
    </row>
    <row r="54" spans="1:17" x14ac:dyDescent="0.35">
      <c r="A54" s="2">
        <v>2023</v>
      </c>
      <c r="B54" s="2" t="s">
        <v>39</v>
      </c>
      <c r="C54" s="2">
        <f t="shared" si="3"/>
        <v>2289.6000000000004</v>
      </c>
      <c r="D54" s="10">
        <f t="shared" si="4"/>
        <v>4.5630045630048032E-3</v>
      </c>
      <c r="E54" s="2">
        <v>173.8</v>
      </c>
      <c r="F54" s="2">
        <v>209.3</v>
      </c>
      <c r="G54" s="2">
        <v>169.6</v>
      </c>
      <c r="H54" s="2">
        <v>178.4</v>
      </c>
      <c r="I54" s="2">
        <v>174.9</v>
      </c>
      <c r="J54" s="2">
        <v>176.3</v>
      </c>
      <c r="K54" s="2">
        <v>155.4</v>
      </c>
      <c r="L54" s="2">
        <v>173.4</v>
      </c>
      <c r="M54" s="2">
        <v>121.3</v>
      </c>
      <c r="N54" s="2">
        <v>212.9</v>
      </c>
      <c r="O54" s="2">
        <v>172.9</v>
      </c>
      <c r="P54" s="2">
        <v>193.5</v>
      </c>
      <c r="Q54" s="2">
        <v>177.9</v>
      </c>
    </row>
    <row r="55" spans="1:17" x14ac:dyDescent="0.35">
      <c r="A55" s="2">
        <v>2023</v>
      </c>
      <c r="B55" s="2" t="s">
        <v>41</v>
      </c>
      <c r="C55" s="2">
        <f t="shared" si="3"/>
        <v>2306.9</v>
      </c>
      <c r="D55" s="10">
        <f t="shared" si="4"/>
        <v>7.5559049615652185E-3</v>
      </c>
      <c r="E55" s="2">
        <v>173.7</v>
      </c>
      <c r="F55" s="2">
        <v>214.3</v>
      </c>
      <c r="G55" s="2">
        <v>173.2</v>
      </c>
      <c r="H55" s="2">
        <v>179.5</v>
      </c>
      <c r="I55" s="2">
        <v>170</v>
      </c>
      <c r="J55" s="2">
        <v>172.2</v>
      </c>
      <c r="K55" s="2">
        <v>161</v>
      </c>
      <c r="L55" s="2">
        <v>175.6</v>
      </c>
      <c r="M55" s="2">
        <v>122.7</v>
      </c>
      <c r="N55" s="2">
        <v>218</v>
      </c>
      <c r="O55" s="2">
        <v>173.4</v>
      </c>
      <c r="P55" s="2">
        <v>194.2</v>
      </c>
      <c r="Q55" s="2">
        <v>179.1</v>
      </c>
    </row>
    <row r="57" spans="1:17" ht="15.5" x14ac:dyDescent="0.35">
      <c r="A57" s="17" t="s">
        <v>204</v>
      </c>
    </row>
    <row r="58" spans="1:17" ht="15.5" x14ac:dyDescent="0.35">
      <c r="A58" s="11" t="s">
        <v>170</v>
      </c>
      <c r="C58" s="4" t="s">
        <v>308</v>
      </c>
    </row>
    <row r="59" spans="1:17" ht="15" x14ac:dyDescent="0.35">
      <c r="A59" s="1" t="s">
        <v>202</v>
      </c>
      <c r="B59" s="1"/>
      <c r="C59" s="1" t="s">
        <v>30</v>
      </c>
      <c r="D59" s="1" t="s">
        <v>309</v>
      </c>
      <c r="E59" s="1" t="s">
        <v>33</v>
      </c>
      <c r="F59" s="1" t="s">
        <v>310</v>
      </c>
      <c r="G59" s="1" t="s">
        <v>35</v>
      </c>
      <c r="H59" s="1" t="s">
        <v>311</v>
      </c>
      <c r="I59" s="4"/>
    </row>
    <row r="60" spans="1:17" ht="15" x14ac:dyDescent="0.35">
      <c r="A60" s="14" t="s">
        <v>3</v>
      </c>
      <c r="C60" s="39">
        <f>SUMIF(A60:A72,A60,'Raw Data'!D335:D371)</f>
        <v>152.9</v>
      </c>
      <c r="D60" s="39"/>
      <c r="E60" s="39">
        <f>SUMIF('PS3'!A60:A72,'PS3'!A60,'Raw Data'!D336:D372)</f>
        <v>156.69999999999999</v>
      </c>
      <c r="F60" s="39"/>
      <c r="G60" s="39">
        <f>SUMIF(A60:A72,A60,'Raw Data'!D337:D373)</f>
        <v>154.1</v>
      </c>
      <c r="H60" s="39"/>
    </row>
    <row r="61" spans="1:17" ht="15" x14ac:dyDescent="0.35">
      <c r="A61" s="14" t="s">
        <v>4</v>
      </c>
      <c r="C61" s="39">
        <f>SUMIF(A60:A72,A61,'Raw Data'!E335:E371)</f>
        <v>221.2</v>
      </c>
      <c r="D61" s="50">
        <f>(C61-C60)/C60</f>
        <v>0.44669718770438183</v>
      </c>
      <c r="E61" s="39">
        <f>SUMIF(A60:A72,A61,'Raw Data'!E336:E372)</f>
        <v>217</v>
      </c>
      <c r="F61" s="50">
        <f>(E61-E60)/E60</f>
        <v>0.38481174218251446</v>
      </c>
      <c r="G61" s="39">
        <f>SUMIF(A60:A72,A61,'Raw Data'!E337:E373)</f>
        <v>217.2</v>
      </c>
      <c r="H61" s="50">
        <f>(G61-G60)/G60</f>
        <v>0.40947436729396491</v>
      </c>
    </row>
    <row r="62" spans="1:17" ht="15" x14ac:dyDescent="0.35">
      <c r="A62" s="14" t="s">
        <v>5</v>
      </c>
      <c r="C62" s="39">
        <f>SUMIF(A60:A72,A62,'Raw Data'!F335:F371)</f>
        <v>162.4</v>
      </c>
      <c r="D62" s="51">
        <f t="shared" ref="D62:D72" si="5">(C62-C61)/C61</f>
        <v>-0.2658227848101265</v>
      </c>
      <c r="E62" s="39">
        <f>SUMIF(A60:A72,A62,'Raw Data'!F336:F372)</f>
        <v>169.6</v>
      </c>
      <c r="F62" s="50">
        <f t="shared" ref="F62:F72" si="6">(E62-E61)/E61</f>
        <v>-0.21843317972350232</v>
      </c>
      <c r="G62" s="39">
        <f>SUMIF(A60:A72,A62,'Raw Data'!F337:F373)</f>
        <v>172.8</v>
      </c>
      <c r="H62" s="50">
        <f t="shared" ref="H62:H72" si="7">(G62-G61)/G61</f>
        <v>-0.20441988950276233</v>
      </c>
    </row>
    <row r="63" spans="1:17" ht="15" x14ac:dyDescent="0.35">
      <c r="A63" s="14" t="s">
        <v>6</v>
      </c>
      <c r="C63" s="39">
        <f>SUMIF(A60:A72,A63,'Raw Data'!G335:G371)</f>
        <v>165.4</v>
      </c>
      <c r="D63" s="50">
        <f t="shared" si="5"/>
        <v>1.8472906403940885E-2</v>
      </c>
      <c r="E63" s="39">
        <f>SUMIF(A60:A72,A63,'Raw Data'!G336:G372)</f>
        <v>166.4</v>
      </c>
      <c r="F63" s="50">
        <f t="shared" si="6"/>
        <v>-1.886792452830182E-2</v>
      </c>
      <c r="G63" s="39">
        <f>SUMIF(A60:A72,A63,'Raw Data'!G337:G373)</f>
        <v>165.8</v>
      </c>
      <c r="H63" s="50">
        <f t="shared" si="7"/>
        <v>-4.0509259259259259E-2</v>
      </c>
    </row>
    <row r="64" spans="1:17" ht="15" x14ac:dyDescent="0.35">
      <c r="A64" s="14" t="s">
        <v>7</v>
      </c>
      <c r="C64" s="39">
        <f>SUMIF(A60:A72,A64,'Raw Data'!H335:H371)</f>
        <v>188.6</v>
      </c>
      <c r="D64" s="50">
        <f t="shared" si="5"/>
        <v>0.14026602176541711</v>
      </c>
      <c r="E64" s="39">
        <f>SUMIF(A60:A72,A64,'Raw Data'!H336:H372)</f>
        <v>200.9</v>
      </c>
      <c r="F64" s="50">
        <f t="shared" si="6"/>
        <v>0.20733173076923075</v>
      </c>
      <c r="G64" s="39">
        <f>SUMIF(A60:A72,A64,'Raw Data'!H337:H373)</f>
        <v>202.2</v>
      </c>
      <c r="H64" s="50">
        <f t="shared" si="7"/>
        <v>0.21954161640530745</v>
      </c>
    </row>
    <row r="65" spans="1:8" ht="15" x14ac:dyDescent="0.35">
      <c r="A65" s="14" t="s">
        <v>8</v>
      </c>
      <c r="C65" s="39">
        <f>SUMIF(A60:A72,A65,'Raw Data'!I335:I371)</f>
        <v>169.7</v>
      </c>
      <c r="D65" s="50">
        <f t="shared" si="5"/>
        <v>-0.10021208907741255</v>
      </c>
      <c r="E65" s="39">
        <f>SUMIF(A60:A72,A65,'Raw Data'!I336:I372)</f>
        <v>169.6</v>
      </c>
      <c r="F65" s="50">
        <f t="shared" si="6"/>
        <v>-0.15579890492782483</v>
      </c>
      <c r="G65" s="39">
        <f>SUMIF(A60:A72,A65,'Raw Data'!I337:I373)</f>
        <v>179.5</v>
      </c>
      <c r="H65" s="50">
        <f t="shared" si="7"/>
        <v>-0.11226508407517305</v>
      </c>
    </row>
    <row r="66" spans="1:8" ht="15" x14ac:dyDescent="0.35">
      <c r="A66" s="14" t="s">
        <v>9</v>
      </c>
      <c r="C66" s="39">
        <f>SUMIF(A60:A72,A66,'Raw Data'!J335:J371)</f>
        <v>168.6</v>
      </c>
      <c r="D66" s="50">
        <f t="shared" si="5"/>
        <v>-6.4820271066587769E-3</v>
      </c>
      <c r="E66" s="39">
        <f>SUMIF(A60:A72,A66,'Raw Data'!J336:J372)</f>
        <v>208.5</v>
      </c>
      <c r="F66" s="50">
        <f t="shared" si="6"/>
        <v>0.22936320754716985</v>
      </c>
      <c r="G66" s="39">
        <f>SUMIF(A60:A72,A66,'Raw Data'!J337:J373)</f>
        <v>182.1</v>
      </c>
      <c r="H66" s="50">
        <f t="shared" si="7"/>
        <v>1.448467966573813E-2</v>
      </c>
    </row>
    <row r="67" spans="1:8" ht="15" x14ac:dyDescent="0.35">
      <c r="A67" s="14" t="s">
        <v>10</v>
      </c>
      <c r="C67" s="39">
        <f>SUMIF(A60:A72,A67,'Raw Data'!K335:K371)</f>
        <v>164</v>
      </c>
      <c r="D67" s="50">
        <f t="shared" si="5"/>
        <v>-2.7283511269276361E-2</v>
      </c>
      <c r="E67" s="39">
        <f>SUMIF(A60:A72,A67,'Raw Data'!K336:K372)</f>
        <v>164.3</v>
      </c>
      <c r="F67" s="50">
        <f t="shared" si="6"/>
        <v>-0.21199040767386085</v>
      </c>
      <c r="G67" s="39">
        <f>SUMIF(A60:A72,A67,'Raw Data'!K337:K373)</f>
        <v>167.1</v>
      </c>
      <c r="H67" s="50">
        <f t="shared" si="7"/>
        <v>-8.2372322899505773E-2</v>
      </c>
    </row>
    <row r="68" spans="1:8" ht="15" x14ac:dyDescent="0.35">
      <c r="A68" s="14" t="s">
        <v>11</v>
      </c>
      <c r="C68" s="39">
        <f>SUMIF(A60:A72,A68,'Raw Data'!L335:L371)</f>
        <v>120</v>
      </c>
      <c r="D68" s="51">
        <f t="shared" si="5"/>
        <v>-0.26829268292682928</v>
      </c>
      <c r="E68" s="39">
        <f>SUMIF(A60:A72,A68,'Raw Data'!L336:L372)</f>
        <v>120.2</v>
      </c>
      <c r="F68" s="51">
        <f t="shared" si="6"/>
        <v>-0.26841144248326237</v>
      </c>
      <c r="G68" s="39">
        <f>SUMIF(A60:A72,A69,'Raw Data'!L337:L373)</f>
        <v>120.9</v>
      </c>
      <c r="H68" s="51">
        <f t="shared" si="7"/>
        <v>-0.27648114901256726</v>
      </c>
    </row>
    <row r="69" spans="1:8" ht="15" x14ac:dyDescent="0.35">
      <c r="A69" s="14" t="s">
        <v>12</v>
      </c>
      <c r="C69" s="39">
        <f>SUMIF(A60:A72,A69,'Raw Data'!M335:M371)</f>
        <v>195.6</v>
      </c>
      <c r="D69" s="52">
        <f t="shared" si="5"/>
        <v>0.63</v>
      </c>
      <c r="E69" s="39">
        <f>SUMIF(A60:A72,A69,'Raw Data'!M336:M372)</f>
        <v>189.7</v>
      </c>
      <c r="F69" s="52">
        <f t="shared" si="6"/>
        <v>0.57820299500831929</v>
      </c>
      <c r="G69" s="39">
        <f>SUMIF(A60:A72,A69,'Raw Data'!M337:M373)</f>
        <v>193.6</v>
      </c>
      <c r="H69" s="52">
        <f t="shared" si="7"/>
        <v>0.60132340777502058</v>
      </c>
    </row>
    <row r="70" spans="1:8" ht="15" x14ac:dyDescent="0.35">
      <c r="A70" s="14" t="s">
        <v>13</v>
      </c>
      <c r="C70" s="39">
        <f>SUMIF(A60:A72,A70,'Raw Data'!N335:N371)</f>
        <v>160.5</v>
      </c>
      <c r="D70" s="50">
        <f t="shared" si="5"/>
        <v>-0.17944785276073616</v>
      </c>
      <c r="E70" s="39">
        <f>SUMIF(A60:A72,A70,'Raw Data'!N336:N372)</f>
        <v>168.8</v>
      </c>
      <c r="F70" s="50">
        <f t="shared" si="6"/>
        <v>-0.11017395888244585</v>
      </c>
      <c r="G70" s="39">
        <f>SUMIF(A60:A72,A70,'Raw Data'!N337:N373)</f>
        <v>175.4</v>
      </c>
      <c r="H70" s="50">
        <f t="shared" si="7"/>
        <v>-9.4008264462809868E-2</v>
      </c>
    </row>
    <row r="71" spans="1:8" ht="15" x14ac:dyDescent="0.35">
      <c r="A71" s="14" t="s">
        <v>14</v>
      </c>
      <c r="C71" s="39">
        <f>SUMIF(A60:A72,A71,'Raw Data'!O335:O371)</f>
        <v>186.3</v>
      </c>
      <c r="D71" s="50">
        <f t="shared" si="5"/>
        <v>0.16074766355140194</v>
      </c>
      <c r="E71" s="39">
        <f>SUMIF(A60:A72,A71,'Raw Data'!O336:O372)</f>
        <v>184.8</v>
      </c>
      <c r="F71" s="50">
        <f t="shared" si="6"/>
        <v>9.4786729857819899E-2</v>
      </c>
      <c r="G71" s="39">
        <f>SUMIF(A60:A72,A71,'Raw Data'!O337:O373)</f>
        <v>190.4</v>
      </c>
      <c r="H71" s="50">
        <f t="shared" si="7"/>
        <v>8.5518814139110597E-2</v>
      </c>
    </row>
    <row r="72" spans="1:8" ht="15" x14ac:dyDescent="0.35">
      <c r="A72" s="14" t="s">
        <v>15</v>
      </c>
      <c r="C72" s="39">
        <f>SUMIF(A60:A72,A72,'Raw Data'!P335:P371)</f>
        <v>175.5</v>
      </c>
      <c r="D72" s="50">
        <f t="shared" si="5"/>
        <v>-5.7971014492753679E-2</v>
      </c>
      <c r="E72" s="39">
        <f>SUMIF(A60:A72,A72,'Raw Data'!P336:P372)</f>
        <v>181.8</v>
      </c>
      <c r="F72" s="50">
        <f t="shared" si="6"/>
        <v>-1.6233766233766232E-2</v>
      </c>
      <c r="G72" s="39">
        <f>SUMIF(A60:A72,A72,'Raw Data'!P337:P373)</f>
        <v>177.8</v>
      </c>
      <c r="H72" s="50">
        <f t="shared" si="7"/>
        <v>-6.6176470588235267E-2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B50C8-577E-43EF-A053-11709CDFB071}">
  <sheetPr>
    <tabColor rgb="FF92D050"/>
  </sheetPr>
  <dimension ref="A1:AS44"/>
  <sheetViews>
    <sheetView showGridLines="0" zoomScale="64" zoomScaleNormal="64" workbookViewId="0">
      <selection activeCell="L8" sqref="L8"/>
    </sheetView>
  </sheetViews>
  <sheetFormatPr defaultColWidth="5.6328125" defaultRowHeight="14.5" x14ac:dyDescent="0.35"/>
  <cols>
    <col min="1" max="1" width="16" customWidth="1"/>
    <col min="2" max="2" width="19.1796875" bestFit="1" customWidth="1"/>
    <col min="3" max="7" width="10.08984375" bestFit="1" customWidth="1"/>
    <col min="10" max="41" width="5.6328125" customWidth="1"/>
    <col min="42" max="42" width="16.08984375" bestFit="1" customWidth="1"/>
  </cols>
  <sheetData>
    <row r="1" spans="1:45" ht="15.5" x14ac:dyDescent="0.35">
      <c r="A1" s="19" t="s">
        <v>214</v>
      </c>
    </row>
    <row r="2" spans="1:45" ht="15.5" x14ac:dyDescent="0.35">
      <c r="A2" s="23" t="s">
        <v>314</v>
      </c>
    </row>
    <row r="3" spans="1:45" ht="15.5" x14ac:dyDescent="0.35">
      <c r="A3" s="23"/>
    </row>
    <row r="4" spans="1:45" ht="15.5" x14ac:dyDescent="0.35">
      <c r="A4" s="24" t="s">
        <v>218</v>
      </c>
    </row>
    <row r="5" spans="1:45" ht="15.5" x14ac:dyDescent="0.35">
      <c r="A5" s="19"/>
      <c r="E5" s="4" t="s">
        <v>213</v>
      </c>
    </row>
    <row r="6" spans="1:45" x14ac:dyDescent="0.35">
      <c r="C6" s="20" t="s">
        <v>210</v>
      </c>
      <c r="E6" s="4" t="s">
        <v>212</v>
      </c>
      <c r="F6" s="21" t="s">
        <v>211</v>
      </c>
    </row>
    <row r="7" spans="1:45" ht="15" x14ac:dyDescent="0.35">
      <c r="A7" s="1" t="s">
        <v>0</v>
      </c>
      <c r="B7" s="1" t="s">
        <v>169</v>
      </c>
      <c r="C7" s="1" t="s">
        <v>205</v>
      </c>
      <c r="D7" s="1" t="s">
        <v>209</v>
      </c>
      <c r="E7" s="1" t="s">
        <v>206</v>
      </c>
      <c r="F7" s="1" t="s">
        <v>207</v>
      </c>
      <c r="G7" s="48" t="s">
        <v>208</v>
      </c>
      <c r="H7" s="49"/>
      <c r="I7" s="49"/>
      <c r="J7" s="49"/>
      <c r="K7" s="49"/>
      <c r="N7" s="1" t="s">
        <v>0</v>
      </c>
      <c r="O7" s="1" t="s">
        <v>1</v>
      </c>
      <c r="P7" s="1" t="s">
        <v>2</v>
      </c>
      <c r="Q7" s="1" t="s">
        <v>170</v>
      </c>
      <c r="R7" s="1" t="s">
        <v>3</v>
      </c>
      <c r="S7" s="1" t="s">
        <v>4</v>
      </c>
      <c r="T7" s="1" t="s">
        <v>5</v>
      </c>
      <c r="U7" s="1" t="s">
        <v>6</v>
      </c>
      <c r="V7" s="1" t="s">
        <v>7</v>
      </c>
      <c r="W7" s="1" t="s">
        <v>8</v>
      </c>
      <c r="X7" s="1" t="s">
        <v>9</v>
      </c>
      <c r="Y7" s="1" t="s">
        <v>10</v>
      </c>
      <c r="Z7" s="1" t="s">
        <v>11</v>
      </c>
      <c r="AA7" s="1" t="s">
        <v>12</v>
      </c>
      <c r="AB7" s="1" t="s">
        <v>13</v>
      </c>
      <c r="AC7" s="1" t="s">
        <v>14</v>
      </c>
      <c r="AD7" s="1" t="s">
        <v>15</v>
      </c>
      <c r="AE7" s="1" t="s">
        <v>16</v>
      </c>
      <c r="AF7" s="1" t="s">
        <v>17</v>
      </c>
      <c r="AG7" s="1" t="s">
        <v>18</v>
      </c>
      <c r="AH7" s="1" t="s">
        <v>19</v>
      </c>
      <c r="AI7" s="1" t="s">
        <v>20</v>
      </c>
      <c r="AJ7" s="1" t="s">
        <v>21</v>
      </c>
      <c r="AK7" s="1" t="s">
        <v>22</v>
      </c>
      <c r="AL7" s="1" t="s">
        <v>23</v>
      </c>
      <c r="AM7" s="1" t="s">
        <v>24</v>
      </c>
      <c r="AN7" s="1" t="s">
        <v>25</v>
      </c>
      <c r="AO7" s="1" t="s">
        <v>26</v>
      </c>
      <c r="AP7" s="1" t="s">
        <v>27</v>
      </c>
      <c r="AQ7" s="1" t="s">
        <v>217</v>
      </c>
      <c r="AR7" s="1" t="s">
        <v>28</v>
      </c>
      <c r="AS7" s="1" t="s">
        <v>29</v>
      </c>
    </row>
    <row r="8" spans="1:45" x14ac:dyDescent="0.35">
      <c r="A8" s="22" t="s">
        <v>30</v>
      </c>
      <c r="B8" s="70" t="s">
        <v>170</v>
      </c>
      <c r="C8" s="66">
        <f>('PS4'!Q9-'PS4'!Q8)/'PS4'!Q8</f>
        <v>-1.5327372688398904E-2</v>
      </c>
      <c r="D8" s="66">
        <f>('PS4'!Q11-'PS4'!Q10)/'PS4'!Q10</f>
        <v>0.10309161172993828</v>
      </c>
      <c r="E8" s="66">
        <f>('PS4'!Q13-'PS4'!Q12)/'PS4'!Q12</f>
        <v>8.3513875992984682E-2</v>
      </c>
      <c r="F8" s="66">
        <f>('PS4'!Q15-'PS4'!Q14)/'PS4'!Q14</f>
        <v>4.9619983540688389E-2</v>
      </c>
      <c r="G8" s="67">
        <f>('PS4'!Q17-'PS4'!Q16)/'PS4'!Q16</f>
        <v>5.76405016256386E-2</v>
      </c>
      <c r="H8" s="40"/>
      <c r="I8" s="40"/>
      <c r="J8" s="40"/>
      <c r="K8" s="40"/>
      <c r="N8" s="2" t="s">
        <v>30</v>
      </c>
      <c r="O8" s="2">
        <v>2018</v>
      </c>
      <c r="P8" s="2" t="s">
        <v>31</v>
      </c>
      <c r="Q8" s="53">
        <f>SUM(R8:AD8)</f>
        <v>1800.7</v>
      </c>
      <c r="R8" s="2">
        <v>136.6</v>
      </c>
      <c r="S8" s="2">
        <v>144.4</v>
      </c>
      <c r="T8" s="2">
        <v>143.80000000000001</v>
      </c>
      <c r="U8" s="2">
        <v>142</v>
      </c>
      <c r="V8" s="2">
        <v>123.2</v>
      </c>
      <c r="W8" s="2">
        <v>147.9</v>
      </c>
      <c r="X8" s="2">
        <v>152.1</v>
      </c>
      <c r="Y8" s="2">
        <v>131.80000000000001</v>
      </c>
      <c r="Z8" s="2">
        <v>119.5</v>
      </c>
      <c r="AA8" s="2">
        <v>136</v>
      </c>
      <c r="AB8" s="2">
        <v>131.19999999999999</v>
      </c>
      <c r="AC8" s="2">
        <v>151.80000000000001</v>
      </c>
      <c r="AD8" s="2">
        <v>140.4</v>
      </c>
      <c r="AE8" s="2">
        <v>153.6</v>
      </c>
      <c r="AF8" s="2">
        <v>148.30000000000001</v>
      </c>
      <c r="AG8" s="2">
        <v>142.30000000000001</v>
      </c>
      <c r="AH8" s="2">
        <v>147.5</v>
      </c>
      <c r="AI8" s="2" t="s">
        <v>32</v>
      </c>
      <c r="AJ8" s="2">
        <v>142.30000000000001</v>
      </c>
      <c r="AK8" s="2">
        <v>139.80000000000001</v>
      </c>
      <c r="AL8" s="56">
        <v>136</v>
      </c>
      <c r="AM8" s="2">
        <v>122.7</v>
      </c>
      <c r="AN8" s="2">
        <v>134.30000000000001</v>
      </c>
      <c r="AO8" s="2">
        <v>141.6</v>
      </c>
      <c r="AP8" s="2">
        <v>128.6</v>
      </c>
      <c r="AQ8" s="55">
        <f t="shared" ref="AQ8:AQ18" si="0">AF8+AG8+AK8+AM8+AN8+AO8+AP8+AR8</f>
        <v>1089.9000000000001</v>
      </c>
      <c r="AR8" s="2">
        <v>132.30000000000001</v>
      </c>
      <c r="AS8" s="2">
        <v>139.30000000000001</v>
      </c>
    </row>
    <row r="9" spans="1:45" x14ac:dyDescent="0.35">
      <c r="A9" s="22" t="s">
        <v>190</v>
      </c>
      <c r="B9" s="72" t="s">
        <v>215</v>
      </c>
      <c r="C9" s="63">
        <f>('PS4'!AL9-'PS4'!AL8)/'PS4'!AL8</f>
        <v>9.9999999999999964E-2</v>
      </c>
      <c r="D9" s="64">
        <f>('PS4'!AL11-'PS4'!AL10)/'PS4'!AL10</f>
        <v>3.4759358288770172E-2</v>
      </c>
      <c r="E9" s="64">
        <f>('PS4'!AL13-'PS4'!AL12)/'PS4'!AL12</f>
        <v>3.7893384714194005E-2</v>
      </c>
      <c r="F9" s="64">
        <f>('PS4'!AL15-'PS4'!AL14)/'PS4'!AL14</f>
        <v>7.0769230769230765E-2</v>
      </c>
      <c r="G9" s="65">
        <f>('PS4'!AL17-'PS4'!AL16)/'PS4'!AL16</f>
        <v>5.0372066399542142E-2</v>
      </c>
      <c r="H9" s="40"/>
      <c r="I9" s="40"/>
      <c r="J9" s="40"/>
      <c r="K9" s="40"/>
      <c r="N9" s="2" t="s">
        <v>30</v>
      </c>
      <c r="O9" s="2">
        <v>2018</v>
      </c>
      <c r="P9" s="2" t="s">
        <v>55</v>
      </c>
      <c r="Q9" s="53">
        <f t="shared" ref="Q9:Q18" si="1">SUM(R9:AD9)</f>
        <v>1773.1000000000001</v>
      </c>
      <c r="R9" s="2">
        <v>137.1</v>
      </c>
      <c r="S9" s="2">
        <v>151.9</v>
      </c>
      <c r="T9" s="2">
        <v>137.4</v>
      </c>
      <c r="U9" s="2">
        <v>142.4</v>
      </c>
      <c r="V9" s="2">
        <v>124.2</v>
      </c>
      <c r="W9" s="2">
        <v>140.19999999999999</v>
      </c>
      <c r="X9" s="2">
        <v>136.6</v>
      </c>
      <c r="Y9" s="2">
        <v>120.9</v>
      </c>
      <c r="Z9" s="2">
        <v>109.9</v>
      </c>
      <c r="AA9" s="2">
        <v>140.19999999999999</v>
      </c>
      <c r="AB9" s="2">
        <v>137.80000000000001</v>
      </c>
      <c r="AC9" s="2">
        <v>156</v>
      </c>
      <c r="AD9" s="2">
        <v>138.5</v>
      </c>
      <c r="AE9" s="2">
        <v>162.4</v>
      </c>
      <c r="AF9" s="2">
        <v>151.6</v>
      </c>
      <c r="AG9" s="2">
        <v>145.9</v>
      </c>
      <c r="AH9" s="2">
        <v>150.80000000000001</v>
      </c>
      <c r="AI9" s="2" t="s">
        <v>32</v>
      </c>
      <c r="AJ9" s="2">
        <v>149</v>
      </c>
      <c r="AK9" s="2">
        <v>149.5</v>
      </c>
      <c r="AL9" s="56">
        <v>149.6</v>
      </c>
      <c r="AM9" s="2">
        <v>128.9</v>
      </c>
      <c r="AN9" s="2">
        <v>143.30000000000001</v>
      </c>
      <c r="AO9" s="2">
        <v>155.1</v>
      </c>
      <c r="AP9" s="2">
        <v>133.19999999999999</v>
      </c>
      <c r="AQ9" s="55">
        <f t="shared" si="0"/>
        <v>1149.0999999999999</v>
      </c>
      <c r="AR9" s="2">
        <v>141.6</v>
      </c>
      <c r="AS9" s="2">
        <v>141.9</v>
      </c>
    </row>
    <row r="10" spans="1:45" x14ac:dyDescent="0.35">
      <c r="A10" s="22" t="s">
        <v>30</v>
      </c>
      <c r="B10" s="71" t="s">
        <v>216</v>
      </c>
      <c r="C10" s="57">
        <f>('PS4'!AQ9-'PS4'!AQ8)/'PS4'!AQ8</f>
        <v>5.4316909808239118E-2</v>
      </c>
      <c r="D10" s="57">
        <f>('PS4'!AQ11-'PS4'!AQ10)/'PS4'!AQ10</f>
        <v>3.1976997473207126E-2</v>
      </c>
      <c r="E10" s="57">
        <f>('PS4'!AQ13-'PS4'!AQ12)/'PS4'!AQ12</f>
        <v>3.8971946917520657E-2</v>
      </c>
      <c r="F10" s="57">
        <f>('PS4'!AQ15-'PS4'!AQ14)/'PS4'!AQ14</f>
        <v>6.7713365539452425E-2</v>
      </c>
      <c r="G10" s="58">
        <f>('PS4'!AQ17-'PS4'!AQ16)/'PS4'!AQ16</f>
        <v>6.3850540216086535E-2</v>
      </c>
      <c r="H10" s="40"/>
      <c r="I10" s="40"/>
      <c r="J10" s="40"/>
      <c r="K10" s="40"/>
      <c r="N10" s="2" t="s">
        <v>30</v>
      </c>
      <c r="O10" s="2">
        <v>2019</v>
      </c>
      <c r="P10" s="2" t="s">
        <v>31</v>
      </c>
      <c r="Q10" s="53">
        <f t="shared" si="1"/>
        <v>1759.6000000000001</v>
      </c>
      <c r="R10" s="2">
        <v>136.6</v>
      </c>
      <c r="S10" s="2">
        <v>152.5</v>
      </c>
      <c r="T10" s="2">
        <v>138.19999999999999</v>
      </c>
      <c r="U10" s="2">
        <v>142.4</v>
      </c>
      <c r="V10" s="2">
        <v>123.9</v>
      </c>
      <c r="W10" s="2">
        <v>135.5</v>
      </c>
      <c r="X10" s="2">
        <v>131.69999999999999</v>
      </c>
      <c r="Y10" s="2">
        <v>121.3</v>
      </c>
      <c r="Z10" s="2">
        <v>108.4</v>
      </c>
      <c r="AA10" s="2">
        <v>138.9</v>
      </c>
      <c r="AB10" s="2">
        <v>137</v>
      </c>
      <c r="AC10" s="2">
        <v>155.80000000000001</v>
      </c>
      <c r="AD10" s="2">
        <v>137.4</v>
      </c>
      <c r="AE10" s="2">
        <v>162.69999999999999</v>
      </c>
      <c r="AF10" s="2">
        <v>150.6</v>
      </c>
      <c r="AG10" s="2">
        <v>145.1</v>
      </c>
      <c r="AH10" s="2">
        <v>149.9</v>
      </c>
      <c r="AI10" s="2" t="s">
        <v>32</v>
      </c>
      <c r="AJ10" s="2">
        <v>146.19999999999999</v>
      </c>
      <c r="AK10" s="2">
        <v>150.1</v>
      </c>
      <c r="AL10" s="56">
        <v>149.6</v>
      </c>
      <c r="AM10" s="2">
        <v>128.6</v>
      </c>
      <c r="AN10" s="2">
        <v>142.9</v>
      </c>
      <c r="AO10" s="2">
        <v>155.19999999999999</v>
      </c>
      <c r="AP10" s="2">
        <v>133.5</v>
      </c>
      <c r="AQ10" s="55">
        <f t="shared" si="0"/>
        <v>1147.7</v>
      </c>
      <c r="AR10" s="2">
        <v>141.69999999999999</v>
      </c>
      <c r="AS10" s="2">
        <v>141</v>
      </c>
    </row>
    <row r="11" spans="1:45" x14ac:dyDescent="0.35">
      <c r="N11" s="2" t="s">
        <v>30</v>
      </c>
      <c r="O11" s="2">
        <v>2019</v>
      </c>
      <c r="P11" s="2" t="s">
        <v>55</v>
      </c>
      <c r="Q11" s="53">
        <f t="shared" si="1"/>
        <v>1940.9999999999995</v>
      </c>
      <c r="R11" s="2">
        <v>142.80000000000001</v>
      </c>
      <c r="S11" s="2">
        <v>165.3</v>
      </c>
      <c r="T11" s="2">
        <v>149.5</v>
      </c>
      <c r="U11" s="2">
        <v>148.69999999999999</v>
      </c>
      <c r="V11" s="2">
        <v>127.5</v>
      </c>
      <c r="W11" s="2">
        <v>144.30000000000001</v>
      </c>
      <c r="X11" s="2">
        <v>209.5</v>
      </c>
      <c r="Y11" s="2">
        <v>138.80000000000001</v>
      </c>
      <c r="Z11" s="2">
        <v>113.6</v>
      </c>
      <c r="AA11" s="2">
        <v>149.1</v>
      </c>
      <c r="AB11" s="2">
        <v>139.30000000000001</v>
      </c>
      <c r="AC11" s="2">
        <v>158.30000000000001</v>
      </c>
      <c r="AD11" s="2">
        <v>154.30000000000001</v>
      </c>
      <c r="AE11" s="2">
        <v>167.8</v>
      </c>
      <c r="AF11" s="2">
        <v>152.6</v>
      </c>
      <c r="AG11" s="2">
        <v>147.30000000000001</v>
      </c>
      <c r="AH11" s="2">
        <v>151.9</v>
      </c>
      <c r="AI11" s="2" t="s">
        <v>32</v>
      </c>
      <c r="AJ11" s="2">
        <v>149.9</v>
      </c>
      <c r="AK11" s="2">
        <v>151.19999999999999</v>
      </c>
      <c r="AL11" s="56">
        <v>154.80000000000001</v>
      </c>
      <c r="AM11" s="2">
        <v>135</v>
      </c>
      <c r="AN11" s="2">
        <v>149.5</v>
      </c>
      <c r="AO11" s="2">
        <v>161.1</v>
      </c>
      <c r="AP11" s="2">
        <v>140.6</v>
      </c>
      <c r="AQ11" s="55">
        <f t="shared" si="0"/>
        <v>1184.3999999999999</v>
      </c>
      <c r="AR11" s="2">
        <v>147.1</v>
      </c>
      <c r="AS11" s="2">
        <v>152.30000000000001</v>
      </c>
    </row>
    <row r="12" spans="1:45" ht="15.5" x14ac:dyDescent="0.35">
      <c r="A12" s="25" t="s">
        <v>219</v>
      </c>
      <c r="N12" s="2" t="s">
        <v>30</v>
      </c>
      <c r="O12" s="2">
        <v>2020</v>
      </c>
      <c r="P12" s="2" t="s">
        <v>31</v>
      </c>
      <c r="Q12" s="53">
        <f t="shared" si="1"/>
        <v>1938.6</v>
      </c>
      <c r="R12" s="2">
        <v>143.69999999999999</v>
      </c>
      <c r="S12" s="2">
        <v>167.3</v>
      </c>
      <c r="T12" s="2">
        <v>153.5</v>
      </c>
      <c r="U12" s="2">
        <v>150.5</v>
      </c>
      <c r="V12" s="2">
        <v>132</v>
      </c>
      <c r="W12" s="2">
        <v>142.19999999999999</v>
      </c>
      <c r="X12" s="2">
        <v>191.5</v>
      </c>
      <c r="Y12" s="2">
        <v>141.1</v>
      </c>
      <c r="Z12" s="2">
        <v>113.8</v>
      </c>
      <c r="AA12" s="2">
        <v>151.6</v>
      </c>
      <c r="AB12" s="2">
        <v>139.69999999999999</v>
      </c>
      <c r="AC12" s="2">
        <v>158.69999999999999</v>
      </c>
      <c r="AD12" s="2">
        <v>153</v>
      </c>
      <c r="AE12" s="2">
        <v>168.6</v>
      </c>
      <c r="AF12" s="2">
        <v>152.80000000000001</v>
      </c>
      <c r="AG12" s="2">
        <v>147.4</v>
      </c>
      <c r="AH12" s="2">
        <v>152.1</v>
      </c>
      <c r="AI12" s="2" t="s">
        <v>32</v>
      </c>
      <c r="AJ12" s="2">
        <v>150.4</v>
      </c>
      <c r="AK12" s="2">
        <v>151.69999999999999</v>
      </c>
      <c r="AL12" s="56">
        <v>155.69999999999999</v>
      </c>
      <c r="AM12" s="2">
        <v>136.30000000000001</v>
      </c>
      <c r="AN12" s="2">
        <v>150.1</v>
      </c>
      <c r="AO12" s="2">
        <v>161.69999999999999</v>
      </c>
      <c r="AP12" s="2">
        <v>142.5</v>
      </c>
      <c r="AQ12" s="55">
        <f t="shared" si="0"/>
        <v>1190.5999999999999</v>
      </c>
      <c r="AR12" s="2">
        <v>148.1</v>
      </c>
      <c r="AS12" s="2">
        <v>151.9</v>
      </c>
    </row>
    <row r="13" spans="1:45" ht="15.5" x14ac:dyDescent="0.35">
      <c r="A13" s="19"/>
      <c r="E13" s="4" t="s">
        <v>213</v>
      </c>
      <c r="N13" s="2" t="s">
        <v>30</v>
      </c>
      <c r="O13" s="2">
        <v>2020</v>
      </c>
      <c r="P13" s="2" t="s">
        <v>55</v>
      </c>
      <c r="Q13" s="53">
        <f t="shared" si="1"/>
        <v>2100.5</v>
      </c>
      <c r="R13" s="2">
        <v>144.6</v>
      </c>
      <c r="S13" s="2">
        <v>188.5</v>
      </c>
      <c r="T13" s="2">
        <v>173.4</v>
      </c>
      <c r="U13" s="2">
        <v>154</v>
      </c>
      <c r="V13" s="2">
        <v>150</v>
      </c>
      <c r="W13" s="2">
        <v>145.9</v>
      </c>
      <c r="X13" s="2">
        <v>225.2</v>
      </c>
      <c r="Y13" s="2">
        <v>159.5</v>
      </c>
      <c r="Z13" s="2">
        <v>114.4</v>
      </c>
      <c r="AA13" s="2">
        <v>163.5</v>
      </c>
      <c r="AB13" s="2">
        <v>153.4</v>
      </c>
      <c r="AC13" s="2">
        <v>163.6</v>
      </c>
      <c r="AD13" s="2">
        <v>164.5</v>
      </c>
      <c r="AE13" s="2">
        <v>183.6</v>
      </c>
      <c r="AF13" s="2">
        <v>157</v>
      </c>
      <c r="AG13" s="2">
        <v>151.6</v>
      </c>
      <c r="AH13" s="2">
        <v>156.30000000000001</v>
      </c>
      <c r="AI13" s="2" t="s">
        <v>32</v>
      </c>
      <c r="AJ13" s="2">
        <v>148.69999999999999</v>
      </c>
      <c r="AK13" s="2">
        <v>153.4</v>
      </c>
      <c r="AL13" s="56">
        <v>161.6</v>
      </c>
      <c r="AM13" s="2">
        <v>146.4</v>
      </c>
      <c r="AN13" s="2">
        <v>153.9</v>
      </c>
      <c r="AO13" s="2">
        <v>162.9</v>
      </c>
      <c r="AP13" s="2">
        <v>156.6</v>
      </c>
      <c r="AQ13" s="55">
        <f t="shared" si="0"/>
        <v>1237</v>
      </c>
      <c r="AR13" s="2">
        <v>155.19999999999999</v>
      </c>
      <c r="AS13" s="2">
        <v>160.69999999999999</v>
      </c>
    </row>
    <row r="14" spans="1:45" x14ac:dyDescent="0.35">
      <c r="C14" s="20" t="s">
        <v>210</v>
      </c>
      <c r="E14" s="4" t="s">
        <v>212</v>
      </c>
      <c r="F14" s="21" t="s">
        <v>211</v>
      </c>
      <c r="N14" s="2" t="s">
        <v>30</v>
      </c>
      <c r="O14" s="2">
        <v>2021</v>
      </c>
      <c r="P14" s="2" t="s">
        <v>31</v>
      </c>
      <c r="Q14" s="53">
        <f t="shared" si="1"/>
        <v>2065.6999999999998</v>
      </c>
      <c r="R14" s="2">
        <v>143.4</v>
      </c>
      <c r="S14" s="2">
        <v>187.5</v>
      </c>
      <c r="T14" s="2">
        <v>173.4</v>
      </c>
      <c r="U14" s="2">
        <v>154</v>
      </c>
      <c r="V14" s="2">
        <v>154.80000000000001</v>
      </c>
      <c r="W14" s="2">
        <v>147</v>
      </c>
      <c r="X14" s="2">
        <v>187.8</v>
      </c>
      <c r="Y14" s="2">
        <v>159.5</v>
      </c>
      <c r="Z14" s="2">
        <v>113.8</v>
      </c>
      <c r="AA14" s="2">
        <v>164.5</v>
      </c>
      <c r="AB14" s="2">
        <v>156.1</v>
      </c>
      <c r="AC14" s="2">
        <v>164.3</v>
      </c>
      <c r="AD14" s="2">
        <v>159.6</v>
      </c>
      <c r="AE14" s="2">
        <v>184.6</v>
      </c>
      <c r="AF14" s="2">
        <v>157.5</v>
      </c>
      <c r="AG14" s="2">
        <v>152.4</v>
      </c>
      <c r="AH14" s="2">
        <v>156.80000000000001</v>
      </c>
      <c r="AI14" s="2" t="s">
        <v>32</v>
      </c>
      <c r="AJ14" s="2">
        <v>150.9</v>
      </c>
      <c r="AK14" s="2">
        <v>153.9</v>
      </c>
      <c r="AL14" s="56">
        <v>162.5</v>
      </c>
      <c r="AM14" s="2">
        <v>147.5</v>
      </c>
      <c r="AN14" s="2">
        <v>155.1</v>
      </c>
      <c r="AO14" s="2">
        <v>163.5</v>
      </c>
      <c r="AP14" s="2">
        <v>156.19999999999999</v>
      </c>
      <c r="AQ14" s="55">
        <f t="shared" si="0"/>
        <v>1242</v>
      </c>
      <c r="AR14" s="2">
        <v>155.9</v>
      </c>
      <c r="AS14" s="2">
        <v>158.5</v>
      </c>
    </row>
    <row r="15" spans="1:45" ht="15" x14ac:dyDescent="0.35">
      <c r="A15" s="1" t="s">
        <v>0</v>
      </c>
      <c r="B15" s="1" t="s">
        <v>169</v>
      </c>
      <c r="C15" s="1" t="s">
        <v>205</v>
      </c>
      <c r="D15" s="1" t="s">
        <v>209</v>
      </c>
      <c r="E15" s="1" t="s">
        <v>206</v>
      </c>
      <c r="F15" s="1" t="s">
        <v>207</v>
      </c>
      <c r="G15" s="48" t="s">
        <v>208</v>
      </c>
      <c r="H15" s="49"/>
      <c r="I15" s="49"/>
      <c r="J15" s="49"/>
      <c r="K15" s="49"/>
      <c r="N15" s="2" t="s">
        <v>30</v>
      </c>
      <c r="O15" s="2">
        <v>2021</v>
      </c>
      <c r="P15" s="2" t="s">
        <v>55</v>
      </c>
      <c r="Q15" s="53">
        <f t="shared" si="1"/>
        <v>2168.1999999999998</v>
      </c>
      <c r="R15" s="2">
        <v>147.4</v>
      </c>
      <c r="S15" s="2">
        <v>197</v>
      </c>
      <c r="T15" s="2">
        <v>176.5</v>
      </c>
      <c r="U15" s="2">
        <v>159.80000000000001</v>
      </c>
      <c r="V15" s="2">
        <v>195.8</v>
      </c>
      <c r="W15" s="2">
        <v>152</v>
      </c>
      <c r="X15" s="2">
        <v>172.3</v>
      </c>
      <c r="Y15" s="2">
        <v>164.5</v>
      </c>
      <c r="Z15" s="2">
        <v>120.6</v>
      </c>
      <c r="AA15" s="2">
        <v>171.7</v>
      </c>
      <c r="AB15" s="2">
        <v>169.7</v>
      </c>
      <c r="AC15" s="2">
        <v>175.1</v>
      </c>
      <c r="AD15" s="2">
        <v>165.8</v>
      </c>
      <c r="AE15" s="2">
        <v>190.8</v>
      </c>
      <c r="AF15" s="2">
        <v>171.8</v>
      </c>
      <c r="AG15" s="2">
        <v>167.3</v>
      </c>
      <c r="AH15" s="2">
        <v>171.2</v>
      </c>
      <c r="AI15" s="2" t="s">
        <v>32</v>
      </c>
      <c r="AJ15" s="2">
        <v>165.6</v>
      </c>
      <c r="AK15" s="2">
        <v>163.9</v>
      </c>
      <c r="AL15" s="56">
        <v>174</v>
      </c>
      <c r="AM15" s="2">
        <v>160.1</v>
      </c>
      <c r="AN15" s="2">
        <v>164.5</v>
      </c>
      <c r="AO15" s="2">
        <v>169.7</v>
      </c>
      <c r="AP15" s="2">
        <v>162.80000000000001</v>
      </c>
      <c r="AQ15" s="55">
        <f t="shared" si="0"/>
        <v>1326.1</v>
      </c>
      <c r="AR15" s="2">
        <v>166</v>
      </c>
      <c r="AS15" s="2">
        <v>167</v>
      </c>
    </row>
    <row r="16" spans="1:45" x14ac:dyDescent="0.35">
      <c r="A16" s="22" t="s">
        <v>33</v>
      </c>
      <c r="B16" s="70" t="s">
        <v>170</v>
      </c>
      <c r="C16" s="68">
        <f>(Q22-Q21)/Q21</f>
        <v>-9.7237316250087095E-4</v>
      </c>
      <c r="D16" s="68">
        <f>(Q24-Q23)/Q23</f>
        <v>0.12176804448776005</v>
      </c>
      <c r="E16" s="68">
        <f>(Q26-Q25)/Q25</f>
        <v>9.2525958671738587E-2</v>
      </c>
      <c r="F16" s="68">
        <f>(Q28-Q27)/Q27</f>
        <v>5.212207916070586E-2</v>
      </c>
      <c r="G16" s="69">
        <f>(Q30-Q29)/Q29</f>
        <v>4.9892532126034624E-2</v>
      </c>
      <c r="H16" s="41"/>
      <c r="I16" s="41"/>
      <c r="J16" s="41"/>
      <c r="K16" s="41"/>
      <c r="N16" s="2" t="s">
        <v>30</v>
      </c>
      <c r="O16" s="2">
        <v>2022</v>
      </c>
      <c r="P16" s="2" t="s">
        <v>31</v>
      </c>
      <c r="Q16" s="53">
        <f t="shared" si="1"/>
        <v>2153</v>
      </c>
      <c r="R16" s="2">
        <v>148.30000000000001</v>
      </c>
      <c r="S16" s="2">
        <v>196.9</v>
      </c>
      <c r="T16" s="2">
        <v>178</v>
      </c>
      <c r="U16" s="2">
        <v>160.5</v>
      </c>
      <c r="V16" s="2">
        <v>192.6</v>
      </c>
      <c r="W16" s="2">
        <v>151.19999999999999</v>
      </c>
      <c r="X16" s="2">
        <v>159.19999999999999</v>
      </c>
      <c r="Y16" s="2">
        <v>164</v>
      </c>
      <c r="Z16" s="2">
        <v>119.3</v>
      </c>
      <c r="AA16" s="2">
        <v>173.3</v>
      </c>
      <c r="AB16" s="2">
        <v>169.8</v>
      </c>
      <c r="AC16" s="2">
        <v>175.8</v>
      </c>
      <c r="AD16" s="2">
        <v>164.1</v>
      </c>
      <c r="AE16" s="2">
        <v>190.7</v>
      </c>
      <c r="AF16" s="2">
        <v>173.2</v>
      </c>
      <c r="AG16" s="2">
        <v>169.3</v>
      </c>
      <c r="AH16" s="2">
        <v>172.7</v>
      </c>
      <c r="AI16" s="2" t="s">
        <v>32</v>
      </c>
      <c r="AJ16" s="2">
        <v>165.8</v>
      </c>
      <c r="AK16" s="2">
        <v>164.9</v>
      </c>
      <c r="AL16" s="56">
        <v>174.7</v>
      </c>
      <c r="AM16" s="2">
        <v>160.80000000000001</v>
      </c>
      <c r="AN16" s="2">
        <v>164.9</v>
      </c>
      <c r="AO16" s="2">
        <v>169.9</v>
      </c>
      <c r="AP16" s="2">
        <v>163.19999999999999</v>
      </c>
      <c r="AQ16" s="55">
        <f t="shared" si="0"/>
        <v>1332.8</v>
      </c>
      <c r="AR16" s="2">
        <v>166.6</v>
      </c>
      <c r="AS16" s="2">
        <v>166.4</v>
      </c>
    </row>
    <row r="17" spans="1:45" x14ac:dyDescent="0.35">
      <c r="A17" s="22" t="s">
        <v>33</v>
      </c>
      <c r="B17" s="72" t="s">
        <v>215</v>
      </c>
      <c r="C17" s="61">
        <f>(AL22-AL21)/AL21</f>
        <v>6.4341085271317919E-2</v>
      </c>
      <c r="D17" s="61">
        <f>(AL24-AL23)/AL23</f>
        <v>3.9187227866472982E-2</v>
      </c>
      <c r="E17" s="61">
        <f>(AL26-AL25)/AL25</f>
        <v>6.3282336578581316E-2</v>
      </c>
      <c r="F17" s="61">
        <f>(AL28-AL27)/AL27</f>
        <v>7.1382219338092148E-2</v>
      </c>
      <c r="G17" s="62">
        <f>(AL30-AL29)/AL29</f>
        <v>6.6827212522576729E-2</v>
      </c>
      <c r="H17" s="41"/>
      <c r="I17" s="41"/>
      <c r="J17" s="41"/>
      <c r="K17" s="41"/>
      <c r="N17" s="2" t="s">
        <v>30</v>
      </c>
      <c r="O17" s="2">
        <v>2022</v>
      </c>
      <c r="P17" s="2" t="s">
        <v>55</v>
      </c>
      <c r="Q17" s="53">
        <f t="shared" si="1"/>
        <v>2277.1</v>
      </c>
      <c r="R17" s="2">
        <v>168.8</v>
      </c>
      <c r="S17" s="2">
        <v>206.9</v>
      </c>
      <c r="T17" s="2">
        <v>189.1</v>
      </c>
      <c r="U17" s="2">
        <v>173.4</v>
      </c>
      <c r="V17" s="2">
        <v>193.9</v>
      </c>
      <c r="W17" s="2">
        <v>156.69999999999999</v>
      </c>
      <c r="X17" s="2">
        <v>150.19999999999999</v>
      </c>
      <c r="Y17" s="2">
        <v>170.5</v>
      </c>
      <c r="Z17" s="2">
        <v>121.2</v>
      </c>
      <c r="AA17" s="2">
        <v>207.5</v>
      </c>
      <c r="AB17" s="2">
        <v>176.8</v>
      </c>
      <c r="AC17" s="2">
        <v>187.7</v>
      </c>
      <c r="AD17" s="2">
        <v>174.4</v>
      </c>
      <c r="AE17" s="2">
        <v>195.9</v>
      </c>
      <c r="AF17" s="2">
        <v>188.1</v>
      </c>
      <c r="AG17" s="2">
        <v>185.9</v>
      </c>
      <c r="AH17" s="2">
        <v>187.8</v>
      </c>
      <c r="AI17" s="2" t="s">
        <v>32</v>
      </c>
      <c r="AJ17" s="2">
        <v>182.8</v>
      </c>
      <c r="AK17" s="2">
        <v>176.4</v>
      </c>
      <c r="AL17" s="56">
        <v>183.5</v>
      </c>
      <c r="AM17" s="2">
        <v>167.8</v>
      </c>
      <c r="AN17" s="2">
        <v>171.2</v>
      </c>
      <c r="AO17" s="2">
        <v>177.3</v>
      </c>
      <c r="AP17" s="2">
        <v>175.7</v>
      </c>
      <c r="AQ17" s="55">
        <f t="shared" si="0"/>
        <v>1417.9</v>
      </c>
      <c r="AR17" s="2">
        <v>175.5</v>
      </c>
      <c r="AS17" s="2">
        <v>177.1</v>
      </c>
    </row>
    <row r="18" spans="1:45" x14ac:dyDescent="0.35">
      <c r="A18" s="22" t="s">
        <v>33</v>
      </c>
      <c r="B18" s="71" t="s">
        <v>216</v>
      </c>
      <c r="C18" s="59">
        <f>(AQ22-AQ21)/AQ21</f>
        <v>4.5387850924386276E-2</v>
      </c>
      <c r="D18" s="59">
        <f>(AQ24-AQ23)/AQ23</f>
        <v>3.821358497617499E-2</v>
      </c>
      <c r="E18" s="59">
        <f>(AQ26-AQ25)/AQ25</f>
        <v>5.3216269485755321E-2</v>
      </c>
      <c r="F18" s="59">
        <f>(AQ28-AQ27)/AQ27</f>
        <v>6.529850746268677E-2</v>
      </c>
      <c r="G18" s="60">
        <f>(AQ30-AQ29)/AQ29</f>
        <v>7.0043529877324887E-2</v>
      </c>
      <c r="H18" s="41"/>
      <c r="I18" s="41"/>
      <c r="J18" s="41"/>
      <c r="K18" s="41"/>
      <c r="N18" s="2" t="s">
        <v>30</v>
      </c>
      <c r="O18" s="2">
        <v>2023</v>
      </c>
      <c r="P18" s="2" t="s">
        <v>31</v>
      </c>
      <c r="Q18" s="53">
        <f t="shared" si="1"/>
        <v>2283.2000000000003</v>
      </c>
      <c r="R18" s="2">
        <v>174</v>
      </c>
      <c r="S18" s="2">
        <v>208.3</v>
      </c>
      <c r="T18" s="2">
        <v>192.9</v>
      </c>
      <c r="U18" s="2">
        <v>174.3</v>
      </c>
      <c r="V18" s="2">
        <v>192.6</v>
      </c>
      <c r="W18" s="2">
        <v>156.30000000000001</v>
      </c>
      <c r="X18" s="2">
        <v>142.9</v>
      </c>
      <c r="Y18" s="2">
        <v>170.7</v>
      </c>
      <c r="Z18" s="2">
        <v>120.3</v>
      </c>
      <c r="AA18" s="2">
        <v>210.5</v>
      </c>
      <c r="AB18" s="2">
        <v>176.9</v>
      </c>
      <c r="AC18" s="2">
        <v>188.5</v>
      </c>
      <c r="AD18" s="2">
        <v>175</v>
      </c>
      <c r="AE18" s="2">
        <v>196.9</v>
      </c>
      <c r="AF18" s="2">
        <v>189</v>
      </c>
      <c r="AG18" s="2">
        <v>186.3</v>
      </c>
      <c r="AH18" s="2">
        <v>188.6</v>
      </c>
      <c r="AI18" s="2" t="s">
        <v>32</v>
      </c>
      <c r="AJ18" s="2">
        <v>183.2</v>
      </c>
      <c r="AK18" s="2">
        <v>177.2</v>
      </c>
      <c r="AL18" s="56">
        <v>184.7</v>
      </c>
      <c r="AM18" s="2">
        <v>168.2</v>
      </c>
      <c r="AN18" s="2">
        <v>171.8</v>
      </c>
      <c r="AO18" s="2">
        <v>177.8</v>
      </c>
      <c r="AP18" s="2">
        <v>178.4</v>
      </c>
      <c r="AQ18" s="55">
        <f t="shared" si="0"/>
        <v>1425.2</v>
      </c>
      <c r="AR18" s="2">
        <v>176.5</v>
      </c>
      <c r="AS18" s="2">
        <v>177.8</v>
      </c>
    </row>
    <row r="20" spans="1:45" ht="15.5" x14ac:dyDescent="0.35">
      <c r="A20" s="25" t="s">
        <v>220</v>
      </c>
      <c r="N20" s="1" t="s">
        <v>0</v>
      </c>
      <c r="O20" s="1" t="s">
        <v>1</v>
      </c>
      <c r="P20" s="1" t="s">
        <v>2</v>
      </c>
      <c r="Q20" s="1" t="s">
        <v>170</v>
      </c>
      <c r="R20" s="1" t="s">
        <v>3</v>
      </c>
      <c r="S20" s="1" t="s">
        <v>4</v>
      </c>
      <c r="T20" s="1" t="s">
        <v>5</v>
      </c>
      <c r="U20" s="1" t="s">
        <v>6</v>
      </c>
      <c r="V20" s="1" t="s">
        <v>7</v>
      </c>
      <c r="W20" s="1" t="s">
        <v>8</v>
      </c>
      <c r="X20" s="1" t="s">
        <v>9</v>
      </c>
      <c r="Y20" s="1" t="s">
        <v>10</v>
      </c>
      <c r="Z20" s="1" t="s">
        <v>11</v>
      </c>
      <c r="AA20" s="1" t="s">
        <v>12</v>
      </c>
      <c r="AB20" s="1" t="s">
        <v>13</v>
      </c>
      <c r="AC20" s="1" t="s">
        <v>14</v>
      </c>
      <c r="AD20" s="1" t="s">
        <v>15</v>
      </c>
      <c r="AE20" s="1" t="s">
        <v>16</v>
      </c>
      <c r="AF20" s="1" t="s">
        <v>17</v>
      </c>
      <c r="AG20" s="1" t="s">
        <v>18</v>
      </c>
      <c r="AH20" s="1" t="s">
        <v>19</v>
      </c>
      <c r="AI20" s="1" t="s">
        <v>20</v>
      </c>
      <c r="AJ20" s="1" t="s">
        <v>21</v>
      </c>
      <c r="AK20" s="1" t="s">
        <v>22</v>
      </c>
      <c r="AL20" s="1" t="s">
        <v>23</v>
      </c>
      <c r="AM20" s="1" t="s">
        <v>24</v>
      </c>
      <c r="AN20" s="1" t="s">
        <v>25</v>
      </c>
      <c r="AO20" s="1" t="s">
        <v>26</v>
      </c>
      <c r="AP20" s="1" t="s">
        <v>27</v>
      </c>
      <c r="AQ20" s="1" t="s">
        <v>216</v>
      </c>
      <c r="AR20" s="1" t="s">
        <v>28</v>
      </c>
      <c r="AS20" s="1" t="s">
        <v>29</v>
      </c>
    </row>
    <row r="21" spans="1:45" ht="15.5" x14ac:dyDescent="0.35">
      <c r="A21" s="19"/>
      <c r="E21" s="4" t="s">
        <v>213</v>
      </c>
      <c r="N21" s="2" t="s">
        <v>33</v>
      </c>
      <c r="O21" s="2">
        <v>2018</v>
      </c>
      <c r="P21" s="2" t="s">
        <v>31</v>
      </c>
      <c r="Q21" s="54">
        <f>SUM(R21:AD21)</f>
        <v>1748.3000000000002</v>
      </c>
      <c r="R21" s="2">
        <v>134.6</v>
      </c>
      <c r="S21" s="2">
        <v>143.69999999999999</v>
      </c>
      <c r="T21" s="2">
        <v>143.6</v>
      </c>
      <c r="U21" s="2">
        <v>139.6</v>
      </c>
      <c r="V21" s="2">
        <v>116.4</v>
      </c>
      <c r="W21" s="2">
        <v>133.80000000000001</v>
      </c>
      <c r="X21" s="2">
        <v>150.5</v>
      </c>
      <c r="Y21" s="2">
        <v>118.4</v>
      </c>
      <c r="Z21" s="2">
        <v>117.3</v>
      </c>
      <c r="AA21" s="2">
        <v>140.5</v>
      </c>
      <c r="AB21" s="2">
        <v>125.9</v>
      </c>
      <c r="AC21" s="2">
        <v>146.80000000000001</v>
      </c>
      <c r="AD21" s="2">
        <v>137.19999999999999</v>
      </c>
      <c r="AE21" s="2">
        <v>157.69999999999999</v>
      </c>
      <c r="AF21" s="2">
        <v>136</v>
      </c>
      <c r="AG21" s="2">
        <v>125.9</v>
      </c>
      <c r="AH21" s="2">
        <v>134.4</v>
      </c>
      <c r="AI21" s="2" t="s">
        <v>104</v>
      </c>
      <c r="AJ21" s="2">
        <v>127.3</v>
      </c>
      <c r="AK21" s="2">
        <v>129.5</v>
      </c>
      <c r="AL21" s="56">
        <v>129</v>
      </c>
      <c r="AM21" s="2">
        <v>116.3</v>
      </c>
      <c r="AN21" s="2">
        <v>126.2</v>
      </c>
      <c r="AO21" s="2">
        <v>137.1</v>
      </c>
      <c r="AP21" s="2">
        <v>125.5</v>
      </c>
      <c r="AQ21" s="55">
        <f>AF21+AG21+AK21+AM21+AN21+AO21+AP21+AR21</f>
        <v>1022.3</v>
      </c>
      <c r="AR21" s="2">
        <v>125.8</v>
      </c>
      <c r="AS21" s="2">
        <v>134.1</v>
      </c>
    </row>
    <row r="22" spans="1:45" x14ac:dyDescent="0.35">
      <c r="C22" s="20" t="s">
        <v>210</v>
      </c>
      <c r="E22" s="4" t="s">
        <v>212</v>
      </c>
      <c r="F22" s="21" t="s">
        <v>211</v>
      </c>
      <c r="N22" s="2" t="s">
        <v>33</v>
      </c>
      <c r="O22" s="2">
        <v>2018</v>
      </c>
      <c r="P22" s="2" t="s">
        <v>55</v>
      </c>
      <c r="Q22" s="54">
        <f t="shared" ref="Q22:Q31" si="2">SUM(R22:AD22)</f>
        <v>1746.6</v>
      </c>
      <c r="R22" s="2">
        <v>138.5</v>
      </c>
      <c r="S22" s="2">
        <v>147.80000000000001</v>
      </c>
      <c r="T22" s="2">
        <v>141.1</v>
      </c>
      <c r="U22" s="2">
        <v>141.6</v>
      </c>
      <c r="V22" s="2">
        <v>118.1</v>
      </c>
      <c r="W22" s="2">
        <v>138.5</v>
      </c>
      <c r="X22" s="2">
        <v>132.4</v>
      </c>
      <c r="Y22" s="2">
        <v>117.5</v>
      </c>
      <c r="Z22" s="2">
        <v>111</v>
      </c>
      <c r="AA22" s="2">
        <v>141.5</v>
      </c>
      <c r="AB22" s="2">
        <v>128.1</v>
      </c>
      <c r="AC22" s="2">
        <v>152.9</v>
      </c>
      <c r="AD22" s="2">
        <v>137.6</v>
      </c>
      <c r="AE22" s="2">
        <v>164.6</v>
      </c>
      <c r="AF22" s="2">
        <v>142.69999999999999</v>
      </c>
      <c r="AG22" s="2">
        <v>130.30000000000001</v>
      </c>
      <c r="AH22" s="2">
        <v>140.80000000000001</v>
      </c>
      <c r="AI22" s="2" t="s">
        <v>115</v>
      </c>
      <c r="AJ22" s="2">
        <v>132.4</v>
      </c>
      <c r="AK22" s="2">
        <v>136.19999999999999</v>
      </c>
      <c r="AL22" s="56">
        <v>137.30000000000001</v>
      </c>
      <c r="AM22" s="2">
        <v>118.8</v>
      </c>
      <c r="AN22" s="2">
        <v>131.69999999999999</v>
      </c>
      <c r="AO22" s="2">
        <v>146.5</v>
      </c>
      <c r="AP22" s="2">
        <v>130.80000000000001</v>
      </c>
      <c r="AQ22" s="55">
        <f>AF22+AG22+AK22+AM22+AN22+AO22+AP22+AR22</f>
        <v>1068.7</v>
      </c>
      <c r="AR22" s="2">
        <v>131.69999999999999</v>
      </c>
      <c r="AS22" s="2">
        <v>138</v>
      </c>
    </row>
    <row r="23" spans="1:45" ht="15" x14ac:dyDescent="0.35">
      <c r="A23" s="1" t="s">
        <v>0</v>
      </c>
      <c r="B23" s="1" t="s">
        <v>169</v>
      </c>
      <c r="C23" s="1" t="s">
        <v>205</v>
      </c>
      <c r="D23" s="1" t="s">
        <v>209</v>
      </c>
      <c r="E23" s="1" t="s">
        <v>206</v>
      </c>
      <c r="F23" s="1" t="s">
        <v>207</v>
      </c>
      <c r="G23" s="48" t="s">
        <v>208</v>
      </c>
      <c r="H23" s="49"/>
      <c r="I23" s="49"/>
      <c r="J23" s="49"/>
      <c r="K23" s="49"/>
      <c r="N23" s="2" t="s">
        <v>33</v>
      </c>
      <c r="O23" s="2">
        <v>2019</v>
      </c>
      <c r="P23" s="2" t="s">
        <v>31</v>
      </c>
      <c r="Q23" s="54">
        <f t="shared" si="2"/>
        <v>1744.3000000000002</v>
      </c>
      <c r="R23" s="2">
        <v>138.30000000000001</v>
      </c>
      <c r="S23" s="2">
        <v>149.4</v>
      </c>
      <c r="T23" s="2">
        <v>143.5</v>
      </c>
      <c r="U23" s="2">
        <v>141.69999999999999</v>
      </c>
      <c r="V23" s="2">
        <v>118.1</v>
      </c>
      <c r="W23" s="2">
        <v>135.19999999999999</v>
      </c>
      <c r="X23" s="2">
        <v>130.5</v>
      </c>
      <c r="Y23" s="2">
        <v>118.2</v>
      </c>
      <c r="Z23" s="2">
        <v>110.4</v>
      </c>
      <c r="AA23" s="2">
        <v>140.4</v>
      </c>
      <c r="AB23" s="2">
        <v>128.1</v>
      </c>
      <c r="AC23" s="2">
        <v>153.19999999999999</v>
      </c>
      <c r="AD23" s="2">
        <v>137.30000000000001</v>
      </c>
      <c r="AE23" s="2">
        <v>164.7</v>
      </c>
      <c r="AF23" s="2">
        <v>143</v>
      </c>
      <c r="AG23" s="2">
        <v>130.4</v>
      </c>
      <c r="AH23" s="2">
        <v>141.1</v>
      </c>
      <c r="AI23" s="2" t="s">
        <v>116</v>
      </c>
      <c r="AJ23" s="2">
        <v>128.6</v>
      </c>
      <c r="AK23" s="2">
        <v>136.30000000000001</v>
      </c>
      <c r="AL23" s="56">
        <v>137.80000000000001</v>
      </c>
      <c r="AM23" s="2">
        <v>118.6</v>
      </c>
      <c r="AN23" s="2">
        <v>131.9</v>
      </c>
      <c r="AO23" s="2">
        <v>146.6</v>
      </c>
      <c r="AP23" s="2">
        <v>131.69999999999999</v>
      </c>
      <c r="AQ23" s="55">
        <f>AF23+AG23+AK23+AM23+AN23+AO23+AP23+AR23</f>
        <v>1070.3</v>
      </c>
      <c r="AR23" s="2">
        <v>131.80000000000001</v>
      </c>
      <c r="AS23" s="2">
        <v>138</v>
      </c>
    </row>
    <row r="24" spans="1:45" x14ac:dyDescent="0.35">
      <c r="A24" s="22" t="s">
        <v>35</v>
      </c>
      <c r="B24" s="70" t="s">
        <v>170</v>
      </c>
      <c r="C24" s="68">
        <f>(Q35-Q34)/Q34</f>
        <v>-9.607281307938852E-3</v>
      </c>
      <c r="D24" s="68">
        <f>(Q37-Q36)/Q36</f>
        <v>0.10990076422949714</v>
      </c>
      <c r="E24" s="68">
        <f>(Q39-Q38)/Q38</f>
        <v>8.6940836940836971E-2</v>
      </c>
      <c r="F24" s="68">
        <f>(Q41-Q40)/Q40</f>
        <v>5.0276908259089856E-2</v>
      </c>
      <c r="G24" s="69">
        <f>(Q43-Q42)/Q42</f>
        <v>5.5078088901210742E-2</v>
      </c>
      <c r="H24" s="41"/>
      <c r="I24" s="41"/>
      <c r="J24" s="41"/>
      <c r="K24" s="41"/>
      <c r="N24" s="2" t="s">
        <v>33</v>
      </c>
      <c r="O24" s="2">
        <v>2019</v>
      </c>
      <c r="P24" s="2" t="s">
        <v>55</v>
      </c>
      <c r="Q24" s="54">
        <f t="shared" si="2"/>
        <v>1956.7</v>
      </c>
      <c r="R24" s="2">
        <v>144.9</v>
      </c>
      <c r="S24" s="2">
        <v>164.5</v>
      </c>
      <c r="T24" s="2">
        <v>153.69999999999999</v>
      </c>
      <c r="U24" s="2">
        <v>147.5</v>
      </c>
      <c r="V24" s="2">
        <v>122.7</v>
      </c>
      <c r="W24" s="2">
        <v>147.19999999999999</v>
      </c>
      <c r="X24" s="2">
        <v>231.5</v>
      </c>
      <c r="Y24" s="2">
        <v>137.19999999999999</v>
      </c>
      <c r="Z24" s="2">
        <v>114.7</v>
      </c>
      <c r="AA24" s="2">
        <v>148</v>
      </c>
      <c r="AB24" s="2">
        <v>130.80000000000001</v>
      </c>
      <c r="AC24" s="2">
        <v>157.69999999999999</v>
      </c>
      <c r="AD24" s="2">
        <v>156.30000000000001</v>
      </c>
      <c r="AE24" s="2">
        <v>170.4</v>
      </c>
      <c r="AF24" s="2">
        <v>146.80000000000001</v>
      </c>
      <c r="AG24" s="2">
        <v>132.80000000000001</v>
      </c>
      <c r="AH24" s="2">
        <v>144.6</v>
      </c>
      <c r="AI24" s="2" t="s">
        <v>126</v>
      </c>
      <c r="AJ24" s="2">
        <v>133.6</v>
      </c>
      <c r="AK24" s="2">
        <v>139.80000000000001</v>
      </c>
      <c r="AL24" s="56">
        <v>143.19999999999999</v>
      </c>
      <c r="AM24" s="2">
        <v>125.2</v>
      </c>
      <c r="AN24" s="2">
        <v>136.80000000000001</v>
      </c>
      <c r="AO24" s="2">
        <v>151.9</v>
      </c>
      <c r="AP24" s="2">
        <v>140.19999999999999</v>
      </c>
      <c r="AQ24" s="55">
        <f t="shared" ref="AQ24:AQ31" si="3">AF24+AG24+AK24+AM24+AN24+AO24+AP24+AR24</f>
        <v>1111.2</v>
      </c>
      <c r="AR24" s="2">
        <v>137.69999999999999</v>
      </c>
      <c r="AS24" s="2">
        <v>148.30000000000001</v>
      </c>
    </row>
    <row r="25" spans="1:45" x14ac:dyDescent="0.35">
      <c r="A25" s="22" t="s">
        <v>35</v>
      </c>
      <c r="B25" s="72" t="s">
        <v>215</v>
      </c>
      <c r="C25" s="61">
        <f>(AL35-AL34)/AL34</f>
        <v>8.7021755438859663E-2</v>
      </c>
      <c r="D25" s="61">
        <f>(AL37-AL36)/AL36</f>
        <v>3.6526533425224064E-2</v>
      </c>
      <c r="E25" s="61">
        <f>(AL39-AL38)/AL38</f>
        <v>4.6957671957672115E-2</v>
      </c>
      <c r="F25" s="61">
        <f>(AL41-AL40)/AL40</f>
        <v>7.0935342121782693E-2</v>
      </c>
      <c r="G25" s="62">
        <f>(AL43-AL42)/AL42</f>
        <v>5.6592765460910084E-2</v>
      </c>
      <c r="H25" s="41"/>
      <c r="I25" s="41"/>
      <c r="J25" s="41"/>
      <c r="K25" s="41"/>
      <c r="N25" s="2" t="s">
        <v>33</v>
      </c>
      <c r="O25" s="2">
        <v>2020</v>
      </c>
      <c r="P25" s="2" t="s">
        <v>31</v>
      </c>
      <c r="Q25" s="54">
        <f t="shared" si="2"/>
        <v>1945.3999999999999</v>
      </c>
      <c r="R25" s="2">
        <v>145.6</v>
      </c>
      <c r="S25" s="2">
        <v>167.6</v>
      </c>
      <c r="T25" s="2">
        <v>157</v>
      </c>
      <c r="U25" s="2">
        <v>149.30000000000001</v>
      </c>
      <c r="V25" s="2">
        <v>126.3</v>
      </c>
      <c r="W25" s="2">
        <v>144.4</v>
      </c>
      <c r="X25" s="2">
        <v>207.8</v>
      </c>
      <c r="Y25" s="2">
        <v>139.1</v>
      </c>
      <c r="Z25" s="2">
        <v>114.8</v>
      </c>
      <c r="AA25" s="2">
        <v>149.5</v>
      </c>
      <c r="AB25" s="2">
        <v>131.1</v>
      </c>
      <c r="AC25" s="2">
        <v>158.5</v>
      </c>
      <c r="AD25" s="2">
        <v>154.4</v>
      </c>
      <c r="AE25" s="2">
        <v>170.8</v>
      </c>
      <c r="AF25" s="2">
        <v>147</v>
      </c>
      <c r="AG25" s="2">
        <v>133.19999999999999</v>
      </c>
      <c r="AH25" s="2">
        <v>144.9</v>
      </c>
      <c r="AI25" s="2" t="s">
        <v>127</v>
      </c>
      <c r="AJ25" s="2">
        <v>135.1</v>
      </c>
      <c r="AK25" s="2">
        <v>140.1</v>
      </c>
      <c r="AL25" s="56">
        <v>143.80000000000001</v>
      </c>
      <c r="AM25" s="2">
        <v>126.1</v>
      </c>
      <c r="AN25" s="2">
        <v>137.19999999999999</v>
      </c>
      <c r="AO25" s="2">
        <v>152.1</v>
      </c>
      <c r="AP25" s="2">
        <v>142.1</v>
      </c>
      <c r="AQ25" s="55">
        <f t="shared" si="3"/>
        <v>1116.2</v>
      </c>
      <c r="AR25" s="2">
        <v>138.4</v>
      </c>
      <c r="AS25" s="2">
        <v>148.19999999999999</v>
      </c>
    </row>
    <row r="26" spans="1:45" x14ac:dyDescent="0.35">
      <c r="A26" s="22" t="s">
        <v>35</v>
      </c>
      <c r="B26" s="71" t="s">
        <v>216</v>
      </c>
      <c r="C26" s="59">
        <f>(AQ35-AQ34)/AQ34</f>
        <v>4.9040914674478034E-2</v>
      </c>
      <c r="D26" s="59">
        <f>(AQ37-AQ36)/AQ36</f>
        <v>3.4231150346815391E-2</v>
      </c>
      <c r="E26" s="59">
        <f>(AQ39-AQ38)/AQ38</f>
        <v>4.6199185230128899E-2</v>
      </c>
      <c r="F26" s="59">
        <f>(AQ41-AQ40)/AQ40</f>
        <v>6.7464905037159226E-2</v>
      </c>
      <c r="G26" s="60">
        <f>(AQ43-AQ42)/AQ42</f>
        <v>6.7318048930604529E-2</v>
      </c>
      <c r="H26" s="41"/>
      <c r="I26" s="41"/>
      <c r="J26" s="41"/>
      <c r="K26" s="41"/>
      <c r="N26" s="2" t="s">
        <v>33</v>
      </c>
      <c r="O26" s="2">
        <v>2020</v>
      </c>
      <c r="P26" s="2" t="s">
        <v>55</v>
      </c>
      <c r="Q26" s="54">
        <f t="shared" si="2"/>
        <v>2125.4</v>
      </c>
      <c r="R26" s="2">
        <v>149</v>
      </c>
      <c r="S26" s="2">
        <v>195.7</v>
      </c>
      <c r="T26" s="2">
        <v>178.3</v>
      </c>
      <c r="U26" s="2">
        <v>154.19999999999999</v>
      </c>
      <c r="V26" s="2">
        <v>140.69999999999999</v>
      </c>
      <c r="W26" s="2">
        <v>149.69999999999999</v>
      </c>
      <c r="X26" s="2">
        <v>240.9</v>
      </c>
      <c r="Y26" s="2">
        <v>161.5</v>
      </c>
      <c r="Z26" s="2">
        <v>117.1</v>
      </c>
      <c r="AA26" s="2">
        <v>161.9</v>
      </c>
      <c r="AB26" s="2">
        <v>143.30000000000001</v>
      </c>
      <c r="AC26" s="2">
        <v>166.1</v>
      </c>
      <c r="AD26" s="2">
        <v>167</v>
      </c>
      <c r="AE26" s="2">
        <v>190.2</v>
      </c>
      <c r="AF26" s="2">
        <v>151.9</v>
      </c>
      <c r="AG26" s="2">
        <v>136.69999999999999</v>
      </c>
      <c r="AH26" s="2">
        <v>149.6</v>
      </c>
      <c r="AI26" s="2" t="s">
        <v>136</v>
      </c>
      <c r="AJ26" s="2">
        <v>137.9</v>
      </c>
      <c r="AK26" s="2">
        <v>145.5</v>
      </c>
      <c r="AL26" s="56">
        <v>152.9</v>
      </c>
      <c r="AM26" s="2">
        <v>135.5</v>
      </c>
      <c r="AN26" s="2">
        <v>144.30000000000001</v>
      </c>
      <c r="AO26" s="2">
        <v>156.9</v>
      </c>
      <c r="AP26" s="2">
        <v>157.9</v>
      </c>
      <c r="AQ26" s="55">
        <f t="shared" si="3"/>
        <v>1175.6000000000001</v>
      </c>
      <c r="AR26" s="2">
        <v>146.9</v>
      </c>
      <c r="AS26" s="2">
        <v>156.9</v>
      </c>
    </row>
    <row r="27" spans="1:45" x14ac:dyDescent="0.35">
      <c r="N27" s="2" t="s">
        <v>33</v>
      </c>
      <c r="O27" s="2">
        <v>2021</v>
      </c>
      <c r="P27" s="2" t="s">
        <v>31</v>
      </c>
      <c r="Q27" s="54">
        <f t="shared" si="2"/>
        <v>2097</v>
      </c>
      <c r="R27" s="2">
        <v>148</v>
      </c>
      <c r="S27" s="2">
        <v>194.8</v>
      </c>
      <c r="T27" s="2">
        <v>178.4</v>
      </c>
      <c r="U27" s="2">
        <v>154.4</v>
      </c>
      <c r="V27" s="2">
        <v>144.1</v>
      </c>
      <c r="W27" s="2">
        <v>152.6</v>
      </c>
      <c r="X27" s="2">
        <v>206.8</v>
      </c>
      <c r="Y27" s="2">
        <v>162.1</v>
      </c>
      <c r="Z27" s="2">
        <v>116.3</v>
      </c>
      <c r="AA27" s="2">
        <v>163</v>
      </c>
      <c r="AB27" s="2">
        <v>145.9</v>
      </c>
      <c r="AC27" s="2">
        <v>167.2</v>
      </c>
      <c r="AD27" s="2">
        <v>163.4</v>
      </c>
      <c r="AE27" s="2">
        <v>191.8</v>
      </c>
      <c r="AF27" s="2">
        <v>152.5</v>
      </c>
      <c r="AG27" s="2">
        <v>137.30000000000001</v>
      </c>
      <c r="AH27" s="2">
        <v>150.19999999999999</v>
      </c>
      <c r="AI27" s="2" t="s">
        <v>137</v>
      </c>
      <c r="AJ27" s="2">
        <v>142.9</v>
      </c>
      <c r="AK27" s="2">
        <v>145.69999999999999</v>
      </c>
      <c r="AL27" s="56">
        <v>154.1</v>
      </c>
      <c r="AM27" s="2">
        <v>136.9</v>
      </c>
      <c r="AN27" s="2">
        <v>145.4</v>
      </c>
      <c r="AO27" s="2">
        <v>156.1</v>
      </c>
      <c r="AP27" s="2">
        <v>157.69999999999999</v>
      </c>
      <c r="AQ27" s="55">
        <f t="shared" si="3"/>
        <v>1179.1999999999998</v>
      </c>
      <c r="AR27" s="2">
        <v>147.6</v>
      </c>
      <c r="AS27" s="2">
        <v>156</v>
      </c>
    </row>
    <row r="28" spans="1:45" x14ac:dyDescent="0.35">
      <c r="N28" s="2" t="s">
        <v>33</v>
      </c>
      <c r="O28" s="2">
        <v>2021</v>
      </c>
      <c r="P28" s="2" t="s">
        <v>55</v>
      </c>
      <c r="Q28" s="54">
        <f t="shared" si="2"/>
        <v>2206.3000000000002</v>
      </c>
      <c r="R28" s="2">
        <v>151.6</v>
      </c>
      <c r="S28" s="2">
        <v>202.2</v>
      </c>
      <c r="T28" s="2">
        <v>180</v>
      </c>
      <c r="U28" s="2">
        <v>160</v>
      </c>
      <c r="V28" s="2">
        <v>173.5</v>
      </c>
      <c r="W28" s="2">
        <v>158.30000000000001</v>
      </c>
      <c r="X28" s="2">
        <v>219.5</v>
      </c>
      <c r="Y28" s="2">
        <v>164.2</v>
      </c>
      <c r="Z28" s="2">
        <v>121.9</v>
      </c>
      <c r="AA28" s="2">
        <v>168.2</v>
      </c>
      <c r="AB28" s="2">
        <v>156.5</v>
      </c>
      <c r="AC28" s="2">
        <v>178.2</v>
      </c>
      <c r="AD28" s="2">
        <v>172.2</v>
      </c>
      <c r="AE28" s="2">
        <v>196.8</v>
      </c>
      <c r="AF28" s="2">
        <v>163.30000000000001</v>
      </c>
      <c r="AG28" s="2">
        <v>146.69999999999999</v>
      </c>
      <c r="AH28" s="2">
        <v>160.69999999999999</v>
      </c>
      <c r="AI28" s="2" t="s">
        <v>148</v>
      </c>
      <c r="AJ28" s="2">
        <v>161.69999999999999</v>
      </c>
      <c r="AK28" s="2">
        <v>156</v>
      </c>
      <c r="AL28" s="56">
        <v>165.1</v>
      </c>
      <c r="AM28" s="2">
        <v>151.80000000000001</v>
      </c>
      <c r="AN28" s="2">
        <v>157.6</v>
      </c>
      <c r="AO28" s="2">
        <v>160.6</v>
      </c>
      <c r="AP28" s="2">
        <v>162.4</v>
      </c>
      <c r="AQ28" s="55">
        <f t="shared" si="3"/>
        <v>1256.2</v>
      </c>
      <c r="AR28" s="2">
        <v>157.80000000000001</v>
      </c>
      <c r="AS28" s="2">
        <v>165.2</v>
      </c>
    </row>
    <row r="29" spans="1:45" x14ac:dyDescent="0.35">
      <c r="N29" s="2" t="s">
        <v>33</v>
      </c>
      <c r="O29" s="2">
        <v>2022</v>
      </c>
      <c r="P29" s="2" t="s">
        <v>31</v>
      </c>
      <c r="Q29" s="54">
        <f t="shared" si="2"/>
        <v>2186.6999999999998</v>
      </c>
      <c r="R29" s="2">
        <v>152.19999999999999</v>
      </c>
      <c r="S29" s="2">
        <v>202.1</v>
      </c>
      <c r="T29" s="2">
        <v>180.1</v>
      </c>
      <c r="U29" s="2">
        <v>160.4</v>
      </c>
      <c r="V29" s="2">
        <v>171</v>
      </c>
      <c r="W29" s="2">
        <v>156.5</v>
      </c>
      <c r="X29" s="2">
        <v>203.6</v>
      </c>
      <c r="Y29" s="2">
        <v>163.80000000000001</v>
      </c>
      <c r="Z29" s="2">
        <v>121.3</v>
      </c>
      <c r="AA29" s="2">
        <v>169.8</v>
      </c>
      <c r="AB29" s="2">
        <v>156.6</v>
      </c>
      <c r="AC29" s="2">
        <v>179</v>
      </c>
      <c r="AD29" s="2">
        <v>170.3</v>
      </c>
      <c r="AE29" s="2">
        <v>196.4</v>
      </c>
      <c r="AF29" s="2">
        <v>164.7</v>
      </c>
      <c r="AG29" s="2">
        <v>148.5</v>
      </c>
      <c r="AH29" s="2">
        <v>162.19999999999999</v>
      </c>
      <c r="AI29" s="2" t="s">
        <v>149</v>
      </c>
      <c r="AJ29" s="2">
        <v>161.6</v>
      </c>
      <c r="AK29" s="2">
        <v>156.80000000000001</v>
      </c>
      <c r="AL29" s="56">
        <v>166.1</v>
      </c>
      <c r="AM29" s="2">
        <v>152.69999999999999</v>
      </c>
      <c r="AN29" s="2">
        <v>158.4</v>
      </c>
      <c r="AO29" s="2">
        <v>161</v>
      </c>
      <c r="AP29" s="2">
        <v>162.80000000000001</v>
      </c>
      <c r="AQ29" s="55">
        <f t="shared" si="3"/>
        <v>1263.5</v>
      </c>
      <c r="AR29" s="2">
        <v>158.6</v>
      </c>
      <c r="AS29" s="2">
        <v>165</v>
      </c>
    </row>
    <row r="30" spans="1:45" x14ac:dyDescent="0.35">
      <c r="N30" s="2" t="s">
        <v>33</v>
      </c>
      <c r="O30" s="2">
        <v>2022</v>
      </c>
      <c r="P30" s="2" t="s">
        <v>55</v>
      </c>
      <c r="Q30" s="54">
        <f t="shared" si="2"/>
        <v>2295.7999999999997</v>
      </c>
      <c r="R30" s="2">
        <v>170.2</v>
      </c>
      <c r="S30" s="2">
        <v>212.9</v>
      </c>
      <c r="T30" s="2">
        <v>191.9</v>
      </c>
      <c r="U30" s="2">
        <v>173.9</v>
      </c>
      <c r="V30" s="2">
        <v>179.1</v>
      </c>
      <c r="W30" s="2">
        <v>159.5</v>
      </c>
      <c r="X30" s="2">
        <v>178.7</v>
      </c>
      <c r="Y30" s="2">
        <v>171.3</v>
      </c>
      <c r="Z30" s="2">
        <v>123.1</v>
      </c>
      <c r="AA30" s="2">
        <v>200.5</v>
      </c>
      <c r="AB30" s="2">
        <v>162.80000000000001</v>
      </c>
      <c r="AC30" s="2">
        <v>193.3</v>
      </c>
      <c r="AD30" s="2">
        <v>178.6</v>
      </c>
      <c r="AE30" s="2">
        <v>201.1</v>
      </c>
      <c r="AF30" s="2">
        <v>177.7</v>
      </c>
      <c r="AG30" s="2">
        <v>164.5</v>
      </c>
      <c r="AH30" s="2">
        <v>175.7</v>
      </c>
      <c r="AI30" s="2" t="s">
        <v>160</v>
      </c>
      <c r="AJ30" s="2">
        <v>180.6</v>
      </c>
      <c r="AK30" s="2">
        <v>167.3</v>
      </c>
      <c r="AL30" s="56">
        <v>177.2</v>
      </c>
      <c r="AM30" s="2">
        <v>159.4</v>
      </c>
      <c r="AN30" s="2">
        <v>167.1</v>
      </c>
      <c r="AO30" s="2">
        <v>171.8</v>
      </c>
      <c r="AP30" s="2">
        <v>176</v>
      </c>
      <c r="AQ30" s="55">
        <f t="shared" si="3"/>
        <v>1352</v>
      </c>
      <c r="AR30" s="2">
        <v>168.2</v>
      </c>
      <c r="AS30" s="2">
        <v>174.1</v>
      </c>
    </row>
    <row r="31" spans="1:45" x14ac:dyDescent="0.35">
      <c r="N31" s="2" t="s">
        <v>33</v>
      </c>
      <c r="O31" s="2">
        <v>2023</v>
      </c>
      <c r="P31" s="2" t="s">
        <v>31</v>
      </c>
      <c r="Q31" s="54">
        <f t="shared" si="2"/>
        <v>2310.2000000000003</v>
      </c>
      <c r="R31" s="2">
        <v>173.3</v>
      </c>
      <c r="S31" s="2">
        <v>215.2</v>
      </c>
      <c r="T31" s="2">
        <v>197</v>
      </c>
      <c r="U31" s="2">
        <v>175.2</v>
      </c>
      <c r="V31" s="2">
        <v>178</v>
      </c>
      <c r="W31" s="2">
        <v>160.5</v>
      </c>
      <c r="X31" s="2">
        <v>175.3</v>
      </c>
      <c r="Y31" s="2">
        <v>171.2</v>
      </c>
      <c r="Z31" s="2">
        <v>122.7</v>
      </c>
      <c r="AA31" s="2">
        <v>204.3</v>
      </c>
      <c r="AB31" s="2">
        <v>163.69999999999999</v>
      </c>
      <c r="AC31" s="2">
        <v>194.3</v>
      </c>
      <c r="AD31" s="2">
        <v>179.5</v>
      </c>
      <c r="AE31" s="2">
        <v>201.6</v>
      </c>
      <c r="AF31" s="2">
        <v>178.7</v>
      </c>
      <c r="AG31" s="2">
        <v>165.3</v>
      </c>
      <c r="AH31" s="2">
        <v>176.6</v>
      </c>
      <c r="AI31" s="2" t="s">
        <v>161</v>
      </c>
      <c r="AJ31" s="2">
        <v>180.1</v>
      </c>
      <c r="AK31" s="2">
        <v>168</v>
      </c>
      <c r="AL31" s="56">
        <v>178.5</v>
      </c>
      <c r="AM31" s="2">
        <v>159.5</v>
      </c>
      <c r="AN31" s="2">
        <v>167.8</v>
      </c>
      <c r="AO31" s="2">
        <v>171.8</v>
      </c>
      <c r="AP31" s="2">
        <v>178.8</v>
      </c>
      <c r="AQ31" s="55">
        <f t="shared" si="3"/>
        <v>1358.8</v>
      </c>
      <c r="AR31" s="2">
        <v>168.9</v>
      </c>
      <c r="AS31" s="2">
        <v>174.9</v>
      </c>
    </row>
    <row r="33" spans="14:45" ht="15" x14ac:dyDescent="0.35">
      <c r="N33" s="1" t="s">
        <v>0</v>
      </c>
      <c r="O33" s="1" t="s">
        <v>1</v>
      </c>
      <c r="P33" s="1" t="s">
        <v>2</v>
      </c>
      <c r="Q33" s="1" t="s">
        <v>170</v>
      </c>
      <c r="R33" s="1" t="s">
        <v>3</v>
      </c>
      <c r="S33" s="1" t="s">
        <v>4</v>
      </c>
      <c r="T33" s="1" t="s">
        <v>5</v>
      </c>
      <c r="U33" s="1" t="s">
        <v>6</v>
      </c>
      <c r="V33" s="1" t="s">
        <v>7</v>
      </c>
      <c r="W33" s="1" t="s">
        <v>8</v>
      </c>
      <c r="X33" s="1" t="s">
        <v>9</v>
      </c>
      <c r="Y33" s="1" t="s">
        <v>10</v>
      </c>
      <c r="Z33" s="1" t="s">
        <v>11</v>
      </c>
      <c r="AA33" s="1" t="s">
        <v>12</v>
      </c>
      <c r="AB33" s="1" t="s">
        <v>13</v>
      </c>
      <c r="AC33" s="1" t="s">
        <v>14</v>
      </c>
      <c r="AD33" s="1" t="s">
        <v>15</v>
      </c>
      <c r="AE33" s="1" t="s">
        <v>16</v>
      </c>
      <c r="AF33" s="1" t="s">
        <v>17</v>
      </c>
      <c r="AG33" s="1" t="s">
        <v>18</v>
      </c>
      <c r="AH33" s="1" t="s">
        <v>19</v>
      </c>
      <c r="AI33" s="1" t="s">
        <v>20</v>
      </c>
      <c r="AJ33" s="1" t="s">
        <v>21</v>
      </c>
      <c r="AK33" s="1" t="s">
        <v>22</v>
      </c>
      <c r="AL33" s="1" t="s">
        <v>23</v>
      </c>
      <c r="AM33" s="1" t="s">
        <v>24</v>
      </c>
      <c r="AN33" s="1" t="s">
        <v>25</v>
      </c>
      <c r="AO33" s="1" t="s">
        <v>26</v>
      </c>
      <c r="AP33" s="1" t="s">
        <v>27</v>
      </c>
      <c r="AQ33" s="1" t="s">
        <v>216</v>
      </c>
      <c r="AR33" s="1" t="s">
        <v>28</v>
      </c>
      <c r="AS33" s="1" t="s">
        <v>29</v>
      </c>
    </row>
    <row r="34" spans="14:45" x14ac:dyDescent="0.35">
      <c r="N34" s="2" t="s">
        <v>35</v>
      </c>
      <c r="O34" s="2">
        <v>2018</v>
      </c>
      <c r="P34" s="2" t="s">
        <v>31</v>
      </c>
      <c r="Q34" s="54">
        <f>SUM(R34:AD34)</f>
        <v>1779.9</v>
      </c>
      <c r="R34" s="2">
        <v>136</v>
      </c>
      <c r="S34" s="2">
        <v>144.19999999999999</v>
      </c>
      <c r="T34" s="2">
        <v>143.69999999999999</v>
      </c>
      <c r="U34" s="2">
        <v>141.1</v>
      </c>
      <c r="V34" s="2">
        <v>120.7</v>
      </c>
      <c r="W34" s="2">
        <v>141.30000000000001</v>
      </c>
      <c r="X34" s="2">
        <v>151.6</v>
      </c>
      <c r="Y34" s="2">
        <v>127.3</v>
      </c>
      <c r="Z34" s="2">
        <v>118.8</v>
      </c>
      <c r="AA34" s="2">
        <v>137.5</v>
      </c>
      <c r="AB34" s="2">
        <v>129</v>
      </c>
      <c r="AC34" s="2">
        <v>149.5</v>
      </c>
      <c r="AD34" s="2">
        <v>139.19999999999999</v>
      </c>
      <c r="AE34" s="2">
        <v>154.69999999999999</v>
      </c>
      <c r="AF34" s="2">
        <v>143.5</v>
      </c>
      <c r="AG34" s="2">
        <v>135.5</v>
      </c>
      <c r="AH34" s="2">
        <v>142.30000000000001</v>
      </c>
      <c r="AI34" s="2" t="s">
        <v>104</v>
      </c>
      <c r="AJ34" s="2">
        <v>136.6</v>
      </c>
      <c r="AK34" s="2">
        <v>134.9</v>
      </c>
      <c r="AL34" s="56">
        <v>133.30000000000001</v>
      </c>
      <c r="AM34" s="2">
        <v>119.3</v>
      </c>
      <c r="AN34" s="2">
        <v>129.69999999999999</v>
      </c>
      <c r="AO34" s="2">
        <v>139</v>
      </c>
      <c r="AP34" s="2">
        <v>127.3</v>
      </c>
      <c r="AQ34" s="55">
        <f>AF34+AG34+AK34+AM34+AN34+AO34+AP34+AR34</f>
        <v>1058.2999999999997</v>
      </c>
      <c r="AR34" s="2">
        <v>129.1</v>
      </c>
      <c r="AS34" s="2">
        <v>136.9</v>
      </c>
    </row>
    <row r="35" spans="14:45" x14ac:dyDescent="0.35">
      <c r="N35" s="2" t="s">
        <v>35</v>
      </c>
      <c r="O35" s="2">
        <v>2018</v>
      </c>
      <c r="P35" s="2" t="s">
        <v>55</v>
      </c>
      <c r="Q35" s="54">
        <f t="shared" ref="Q35:Q44" si="4">SUM(R35:AD35)</f>
        <v>1762.7999999999997</v>
      </c>
      <c r="R35" s="2">
        <v>137.5</v>
      </c>
      <c r="S35" s="2">
        <v>150.5</v>
      </c>
      <c r="T35" s="2">
        <v>138.80000000000001</v>
      </c>
      <c r="U35" s="2">
        <v>142.1</v>
      </c>
      <c r="V35" s="2">
        <v>122</v>
      </c>
      <c r="W35" s="2">
        <v>139.4</v>
      </c>
      <c r="X35" s="2">
        <v>135.19999999999999</v>
      </c>
      <c r="Y35" s="2">
        <v>119.8</v>
      </c>
      <c r="Z35" s="2">
        <v>110.3</v>
      </c>
      <c r="AA35" s="2">
        <v>140.6</v>
      </c>
      <c r="AB35" s="2">
        <v>133.80000000000001</v>
      </c>
      <c r="AC35" s="2">
        <v>154.6</v>
      </c>
      <c r="AD35" s="2">
        <v>138.19999999999999</v>
      </c>
      <c r="AE35" s="2">
        <v>163</v>
      </c>
      <c r="AF35" s="2">
        <v>148.1</v>
      </c>
      <c r="AG35" s="2">
        <v>139.4</v>
      </c>
      <c r="AH35" s="2">
        <v>146.80000000000001</v>
      </c>
      <c r="AI35" s="2" t="s">
        <v>115</v>
      </c>
      <c r="AJ35" s="2">
        <v>142.69999999999999</v>
      </c>
      <c r="AK35" s="2">
        <v>143.19999999999999</v>
      </c>
      <c r="AL35" s="56">
        <v>144.9</v>
      </c>
      <c r="AM35" s="2">
        <v>123.6</v>
      </c>
      <c r="AN35" s="2">
        <v>136.80000000000001</v>
      </c>
      <c r="AO35" s="2">
        <v>150.1</v>
      </c>
      <c r="AP35" s="2">
        <v>132.19999999999999</v>
      </c>
      <c r="AQ35" s="55">
        <f>AF35+AG35+AK35+AM35+AN35+AO35+AP35+AR35</f>
        <v>1110.1999999999998</v>
      </c>
      <c r="AR35" s="2">
        <v>136.80000000000001</v>
      </c>
      <c r="AS35" s="2">
        <v>140.1</v>
      </c>
    </row>
    <row r="36" spans="14:45" x14ac:dyDescent="0.35">
      <c r="N36" s="2" t="s">
        <v>35</v>
      </c>
      <c r="O36" s="2">
        <v>2019</v>
      </c>
      <c r="P36" s="2" t="s">
        <v>31</v>
      </c>
      <c r="Q36" s="54">
        <f t="shared" si="4"/>
        <v>1753.3999999999999</v>
      </c>
      <c r="R36" s="2">
        <v>137.1</v>
      </c>
      <c r="S36" s="2">
        <v>151.4</v>
      </c>
      <c r="T36" s="2">
        <v>140.19999999999999</v>
      </c>
      <c r="U36" s="2">
        <v>142.1</v>
      </c>
      <c r="V36" s="2">
        <v>121.8</v>
      </c>
      <c r="W36" s="2">
        <v>135.4</v>
      </c>
      <c r="X36" s="2">
        <v>131.30000000000001</v>
      </c>
      <c r="Y36" s="2">
        <v>120.3</v>
      </c>
      <c r="Z36" s="2">
        <v>109.1</v>
      </c>
      <c r="AA36" s="2">
        <v>139.4</v>
      </c>
      <c r="AB36" s="2">
        <v>133.30000000000001</v>
      </c>
      <c r="AC36" s="2">
        <v>154.6</v>
      </c>
      <c r="AD36" s="2">
        <v>137.4</v>
      </c>
      <c r="AE36" s="2">
        <v>163.19999999999999</v>
      </c>
      <c r="AF36" s="2">
        <v>147.6</v>
      </c>
      <c r="AG36" s="2">
        <v>139</v>
      </c>
      <c r="AH36" s="2">
        <v>146.4</v>
      </c>
      <c r="AI36" s="2" t="s">
        <v>116</v>
      </c>
      <c r="AJ36" s="2">
        <v>139.5</v>
      </c>
      <c r="AK36" s="2">
        <v>143.6</v>
      </c>
      <c r="AL36" s="56">
        <v>145.1</v>
      </c>
      <c r="AM36" s="2">
        <v>123.3</v>
      </c>
      <c r="AN36" s="2">
        <v>136.69999999999999</v>
      </c>
      <c r="AO36" s="2">
        <v>150.19999999999999</v>
      </c>
      <c r="AP36" s="2">
        <v>132.80000000000001</v>
      </c>
      <c r="AQ36" s="55">
        <f t="shared" ref="AQ36:AQ44" si="5">AF36+AG36+AK36+AM36+AN36+AO36+AP36+AR36</f>
        <v>1110.1000000000001</v>
      </c>
      <c r="AR36" s="2">
        <v>136.9</v>
      </c>
      <c r="AS36" s="2">
        <v>139.6</v>
      </c>
    </row>
    <row r="37" spans="14:45" x14ac:dyDescent="0.35">
      <c r="N37" s="2" t="s">
        <v>35</v>
      </c>
      <c r="O37" s="2">
        <v>2019</v>
      </c>
      <c r="P37" s="2" t="s">
        <v>55</v>
      </c>
      <c r="Q37" s="54">
        <f t="shared" si="4"/>
        <v>1946.1000000000001</v>
      </c>
      <c r="R37" s="2">
        <v>143.5</v>
      </c>
      <c r="S37" s="2">
        <v>165</v>
      </c>
      <c r="T37" s="2">
        <v>151.1</v>
      </c>
      <c r="U37" s="2">
        <v>148.30000000000001</v>
      </c>
      <c r="V37" s="2">
        <v>125.7</v>
      </c>
      <c r="W37" s="2">
        <v>145.69999999999999</v>
      </c>
      <c r="X37" s="2">
        <v>217</v>
      </c>
      <c r="Y37" s="2">
        <v>138.30000000000001</v>
      </c>
      <c r="Z37" s="2">
        <v>114</v>
      </c>
      <c r="AA37" s="2">
        <v>148.69999999999999</v>
      </c>
      <c r="AB37" s="2">
        <v>135.80000000000001</v>
      </c>
      <c r="AC37" s="2">
        <v>158</v>
      </c>
      <c r="AD37" s="2">
        <v>155</v>
      </c>
      <c r="AE37" s="2">
        <v>168.5</v>
      </c>
      <c r="AF37" s="2">
        <v>150.30000000000001</v>
      </c>
      <c r="AG37" s="2">
        <v>141.30000000000001</v>
      </c>
      <c r="AH37" s="2">
        <v>149</v>
      </c>
      <c r="AI37" s="2" t="s">
        <v>126</v>
      </c>
      <c r="AJ37" s="2">
        <v>143.69999999999999</v>
      </c>
      <c r="AK37" s="2">
        <v>145.80000000000001</v>
      </c>
      <c r="AL37" s="56">
        <v>150.4</v>
      </c>
      <c r="AM37" s="2">
        <v>129.80000000000001</v>
      </c>
      <c r="AN37" s="2">
        <v>142.30000000000001</v>
      </c>
      <c r="AO37" s="2">
        <v>155.69999999999999</v>
      </c>
      <c r="AP37" s="2">
        <v>140.4</v>
      </c>
      <c r="AQ37" s="55">
        <f t="shared" si="5"/>
        <v>1148.0999999999999</v>
      </c>
      <c r="AR37" s="2">
        <v>142.5</v>
      </c>
      <c r="AS37" s="2">
        <v>150.4</v>
      </c>
    </row>
    <row r="38" spans="14:45" x14ac:dyDescent="0.35">
      <c r="N38" s="2" t="s">
        <v>35</v>
      </c>
      <c r="O38" s="2">
        <v>2020</v>
      </c>
      <c r="P38" s="2" t="s">
        <v>31</v>
      </c>
      <c r="Q38" s="54">
        <f t="shared" si="4"/>
        <v>1940.3999999999999</v>
      </c>
      <c r="R38" s="2">
        <v>144.30000000000001</v>
      </c>
      <c r="S38" s="2">
        <v>167.4</v>
      </c>
      <c r="T38" s="2">
        <v>154.9</v>
      </c>
      <c r="U38" s="2">
        <v>150.1</v>
      </c>
      <c r="V38" s="2">
        <v>129.9</v>
      </c>
      <c r="W38" s="2">
        <v>143.19999999999999</v>
      </c>
      <c r="X38" s="2">
        <v>197</v>
      </c>
      <c r="Y38" s="2">
        <v>140.4</v>
      </c>
      <c r="Z38" s="2">
        <v>114.1</v>
      </c>
      <c r="AA38" s="2">
        <v>150.9</v>
      </c>
      <c r="AB38" s="2">
        <v>136.1</v>
      </c>
      <c r="AC38" s="2">
        <v>158.6</v>
      </c>
      <c r="AD38" s="2">
        <v>153.5</v>
      </c>
      <c r="AE38" s="2">
        <v>169.2</v>
      </c>
      <c r="AF38" s="2">
        <v>150.5</v>
      </c>
      <c r="AG38" s="2">
        <v>141.5</v>
      </c>
      <c r="AH38" s="2">
        <v>149.19999999999999</v>
      </c>
      <c r="AI38" s="2" t="s">
        <v>127</v>
      </c>
      <c r="AJ38" s="2">
        <v>144.6</v>
      </c>
      <c r="AK38" s="2">
        <v>146.19999999999999</v>
      </c>
      <c r="AL38" s="56">
        <v>151.19999999999999</v>
      </c>
      <c r="AM38" s="2">
        <v>130.9</v>
      </c>
      <c r="AN38" s="2">
        <v>142.80000000000001</v>
      </c>
      <c r="AO38" s="2">
        <v>156.1</v>
      </c>
      <c r="AP38" s="2">
        <v>142.30000000000001</v>
      </c>
      <c r="AQ38" s="55">
        <f t="shared" si="5"/>
        <v>1153.7000000000003</v>
      </c>
      <c r="AR38" s="2">
        <v>143.4</v>
      </c>
      <c r="AS38" s="2">
        <v>150.19999999999999</v>
      </c>
    </row>
    <row r="39" spans="14:45" x14ac:dyDescent="0.35">
      <c r="N39" s="2" t="s">
        <v>35</v>
      </c>
      <c r="O39" s="2">
        <v>2020</v>
      </c>
      <c r="P39" s="2" t="s">
        <v>55</v>
      </c>
      <c r="Q39" s="54">
        <f t="shared" si="4"/>
        <v>2109.1</v>
      </c>
      <c r="R39" s="2">
        <v>146</v>
      </c>
      <c r="S39" s="2">
        <v>191</v>
      </c>
      <c r="T39" s="2">
        <v>175.3</v>
      </c>
      <c r="U39" s="2">
        <v>154.1</v>
      </c>
      <c r="V39" s="2">
        <v>146.6</v>
      </c>
      <c r="W39" s="2">
        <v>147.69999999999999</v>
      </c>
      <c r="X39" s="2">
        <v>230.5</v>
      </c>
      <c r="Y39" s="2">
        <v>160.19999999999999</v>
      </c>
      <c r="Z39" s="2">
        <v>115.3</v>
      </c>
      <c r="AA39" s="2">
        <v>163</v>
      </c>
      <c r="AB39" s="2">
        <v>149.19999999999999</v>
      </c>
      <c r="AC39" s="2">
        <v>164.8</v>
      </c>
      <c r="AD39" s="2">
        <v>165.4</v>
      </c>
      <c r="AE39" s="2">
        <v>185.4</v>
      </c>
      <c r="AF39" s="2">
        <v>155</v>
      </c>
      <c r="AG39" s="2">
        <v>145.4</v>
      </c>
      <c r="AH39" s="2">
        <v>153.6</v>
      </c>
      <c r="AI39" s="2" t="s">
        <v>136</v>
      </c>
      <c r="AJ39" s="2">
        <v>144.6</v>
      </c>
      <c r="AK39" s="2">
        <v>149.69999999999999</v>
      </c>
      <c r="AL39" s="56">
        <v>158.30000000000001</v>
      </c>
      <c r="AM39" s="2">
        <v>140.69999999999999</v>
      </c>
      <c r="AN39" s="2">
        <v>148.5</v>
      </c>
      <c r="AO39" s="2">
        <v>159.4</v>
      </c>
      <c r="AP39" s="2">
        <v>157.1</v>
      </c>
      <c r="AQ39" s="55">
        <f t="shared" si="5"/>
        <v>1207</v>
      </c>
      <c r="AR39" s="2">
        <v>151.19999999999999</v>
      </c>
      <c r="AS39" s="2">
        <v>158.9</v>
      </c>
    </row>
    <row r="40" spans="14:45" x14ac:dyDescent="0.35">
      <c r="N40" s="2" t="s">
        <v>35</v>
      </c>
      <c r="O40" s="2">
        <v>2021</v>
      </c>
      <c r="P40" s="2" t="s">
        <v>31</v>
      </c>
      <c r="Q40" s="54">
        <f t="shared" si="4"/>
        <v>2076.5</v>
      </c>
      <c r="R40" s="2">
        <v>144.9</v>
      </c>
      <c r="S40" s="2">
        <v>190.1</v>
      </c>
      <c r="T40" s="2">
        <v>175.3</v>
      </c>
      <c r="U40" s="2">
        <v>154.1</v>
      </c>
      <c r="V40" s="2">
        <v>150.9</v>
      </c>
      <c r="W40" s="2">
        <v>149.6</v>
      </c>
      <c r="X40" s="2">
        <v>194.2</v>
      </c>
      <c r="Y40" s="2">
        <v>160.4</v>
      </c>
      <c r="Z40" s="2">
        <v>114.6</v>
      </c>
      <c r="AA40" s="2">
        <v>164</v>
      </c>
      <c r="AB40" s="2">
        <v>151.80000000000001</v>
      </c>
      <c r="AC40" s="2">
        <v>165.6</v>
      </c>
      <c r="AD40" s="2">
        <v>161</v>
      </c>
      <c r="AE40" s="2">
        <v>186.5</v>
      </c>
      <c r="AF40" s="2">
        <v>155.5</v>
      </c>
      <c r="AG40" s="2">
        <v>146.1</v>
      </c>
      <c r="AH40" s="2">
        <v>154.19999999999999</v>
      </c>
      <c r="AI40" s="2" t="s">
        <v>137</v>
      </c>
      <c r="AJ40" s="2">
        <v>147.9</v>
      </c>
      <c r="AK40" s="2">
        <v>150</v>
      </c>
      <c r="AL40" s="56">
        <v>159.30000000000001</v>
      </c>
      <c r="AM40" s="2">
        <v>141.9</v>
      </c>
      <c r="AN40" s="2">
        <v>149.6</v>
      </c>
      <c r="AO40" s="2">
        <v>159.19999999999999</v>
      </c>
      <c r="AP40" s="2">
        <v>156.80000000000001</v>
      </c>
      <c r="AQ40" s="55">
        <f t="shared" si="5"/>
        <v>1211</v>
      </c>
      <c r="AR40" s="2">
        <v>151.9</v>
      </c>
      <c r="AS40" s="2">
        <v>157.30000000000001</v>
      </c>
    </row>
    <row r="41" spans="14:45" x14ac:dyDescent="0.35">
      <c r="N41" s="2" t="s">
        <v>35</v>
      </c>
      <c r="O41" s="2">
        <v>2021</v>
      </c>
      <c r="P41" s="2" t="s">
        <v>55</v>
      </c>
      <c r="Q41" s="54">
        <f t="shared" si="4"/>
        <v>2180.9</v>
      </c>
      <c r="R41" s="2">
        <v>148.69999999999999</v>
      </c>
      <c r="S41" s="2">
        <v>198.8</v>
      </c>
      <c r="T41" s="2">
        <v>177.9</v>
      </c>
      <c r="U41" s="2">
        <v>159.9</v>
      </c>
      <c r="V41" s="2">
        <v>187.6</v>
      </c>
      <c r="W41" s="2">
        <v>154.9</v>
      </c>
      <c r="X41" s="2">
        <v>188.3</v>
      </c>
      <c r="Y41" s="2">
        <v>164.4</v>
      </c>
      <c r="Z41" s="2">
        <v>121</v>
      </c>
      <c r="AA41" s="2">
        <v>170.5</v>
      </c>
      <c r="AB41" s="2">
        <v>164.2</v>
      </c>
      <c r="AC41" s="2">
        <v>176.5</v>
      </c>
      <c r="AD41" s="2">
        <v>168.2</v>
      </c>
      <c r="AE41" s="2">
        <v>192.4</v>
      </c>
      <c r="AF41" s="2">
        <v>168.5</v>
      </c>
      <c r="AG41" s="2">
        <v>158.69999999999999</v>
      </c>
      <c r="AH41" s="2">
        <v>167</v>
      </c>
      <c r="AI41" s="2" t="s">
        <v>148</v>
      </c>
      <c r="AJ41" s="2">
        <v>164.1</v>
      </c>
      <c r="AK41" s="2">
        <v>160.19999999999999</v>
      </c>
      <c r="AL41" s="56">
        <v>170.6</v>
      </c>
      <c r="AM41" s="2">
        <v>155.69999999999999</v>
      </c>
      <c r="AN41" s="2">
        <v>160.6</v>
      </c>
      <c r="AO41" s="2">
        <v>164.4</v>
      </c>
      <c r="AP41" s="2">
        <v>162.6</v>
      </c>
      <c r="AQ41" s="55">
        <f t="shared" si="5"/>
        <v>1292.6999999999998</v>
      </c>
      <c r="AR41" s="2">
        <v>162</v>
      </c>
      <c r="AS41" s="2">
        <v>166.2</v>
      </c>
    </row>
    <row r="42" spans="14:45" x14ac:dyDescent="0.35">
      <c r="N42" s="2" t="s">
        <v>35</v>
      </c>
      <c r="O42" s="2">
        <v>2022</v>
      </c>
      <c r="P42" s="2" t="s">
        <v>31</v>
      </c>
      <c r="Q42" s="54">
        <f t="shared" si="4"/>
        <v>2164.1999999999998</v>
      </c>
      <c r="R42" s="2">
        <v>149.5</v>
      </c>
      <c r="S42" s="2">
        <v>198.7</v>
      </c>
      <c r="T42" s="2">
        <v>178.8</v>
      </c>
      <c r="U42" s="2">
        <v>160.5</v>
      </c>
      <c r="V42" s="2">
        <v>184.7</v>
      </c>
      <c r="W42" s="2">
        <v>153.69999999999999</v>
      </c>
      <c r="X42" s="2">
        <v>174.3</v>
      </c>
      <c r="Y42" s="2">
        <v>163.9</v>
      </c>
      <c r="Z42" s="2">
        <v>120</v>
      </c>
      <c r="AA42" s="2">
        <v>172.1</v>
      </c>
      <c r="AB42" s="2">
        <v>164.3</v>
      </c>
      <c r="AC42" s="2">
        <v>177.3</v>
      </c>
      <c r="AD42" s="2">
        <v>166.4</v>
      </c>
      <c r="AE42" s="2">
        <v>192.2</v>
      </c>
      <c r="AF42" s="2">
        <v>169.9</v>
      </c>
      <c r="AG42" s="2">
        <v>160.69999999999999</v>
      </c>
      <c r="AH42" s="2">
        <v>168.5</v>
      </c>
      <c r="AI42" s="2" t="s">
        <v>149</v>
      </c>
      <c r="AJ42" s="2">
        <v>164.2</v>
      </c>
      <c r="AK42" s="2">
        <v>161.1</v>
      </c>
      <c r="AL42" s="56">
        <v>171.4</v>
      </c>
      <c r="AM42" s="2">
        <v>156.5</v>
      </c>
      <c r="AN42" s="2">
        <v>161.19999999999999</v>
      </c>
      <c r="AO42" s="2">
        <v>164.7</v>
      </c>
      <c r="AP42" s="2">
        <v>163</v>
      </c>
      <c r="AQ42" s="55">
        <f t="shared" si="5"/>
        <v>1299.8000000000002</v>
      </c>
      <c r="AR42" s="2">
        <v>162.69999999999999</v>
      </c>
      <c r="AS42" s="2">
        <v>165.7</v>
      </c>
    </row>
    <row r="43" spans="14:45" x14ac:dyDescent="0.35">
      <c r="N43" s="2" t="s">
        <v>35</v>
      </c>
      <c r="O43" s="2">
        <v>2022</v>
      </c>
      <c r="P43" s="2" t="s">
        <v>55</v>
      </c>
      <c r="Q43" s="54">
        <f t="shared" si="4"/>
        <v>2283.4</v>
      </c>
      <c r="R43" s="2">
        <v>169.2</v>
      </c>
      <c r="S43" s="2">
        <v>209</v>
      </c>
      <c r="T43" s="2">
        <v>190.2</v>
      </c>
      <c r="U43" s="2">
        <v>173.6</v>
      </c>
      <c r="V43" s="2">
        <v>188.5</v>
      </c>
      <c r="W43" s="2">
        <v>158</v>
      </c>
      <c r="X43" s="2">
        <v>159.9</v>
      </c>
      <c r="Y43" s="2">
        <v>170.8</v>
      </c>
      <c r="Z43" s="2">
        <v>121.8</v>
      </c>
      <c r="AA43" s="2">
        <v>205.2</v>
      </c>
      <c r="AB43" s="2">
        <v>171</v>
      </c>
      <c r="AC43" s="2">
        <v>190.3</v>
      </c>
      <c r="AD43" s="2">
        <v>175.9</v>
      </c>
      <c r="AE43" s="2">
        <v>197.3</v>
      </c>
      <c r="AF43" s="2">
        <v>184</v>
      </c>
      <c r="AG43" s="2">
        <v>177</v>
      </c>
      <c r="AH43" s="2">
        <v>183</v>
      </c>
      <c r="AI43" s="2" t="s">
        <v>160</v>
      </c>
      <c r="AJ43" s="2">
        <v>182</v>
      </c>
      <c r="AK43" s="2">
        <v>172.1</v>
      </c>
      <c r="AL43" s="56">
        <v>181.1</v>
      </c>
      <c r="AM43" s="2">
        <v>163.4</v>
      </c>
      <c r="AN43" s="2">
        <v>168.9</v>
      </c>
      <c r="AO43" s="2">
        <v>174.1</v>
      </c>
      <c r="AP43" s="2">
        <v>175.8</v>
      </c>
      <c r="AQ43" s="55">
        <f t="shared" si="5"/>
        <v>1387.3</v>
      </c>
      <c r="AR43" s="2">
        <v>172</v>
      </c>
      <c r="AS43" s="2">
        <v>175.7</v>
      </c>
    </row>
    <row r="44" spans="14:45" x14ac:dyDescent="0.35">
      <c r="N44" s="2" t="s">
        <v>35</v>
      </c>
      <c r="O44" s="2">
        <v>2023</v>
      </c>
      <c r="P44" s="2" t="s">
        <v>31</v>
      </c>
      <c r="Q44" s="54">
        <f t="shared" si="4"/>
        <v>2292.6999999999998</v>
      </c>
      <c r="R44" s="2">
        <v>173.8</v>
      </c>
      <c r="S44" s="2">
        <v>210.7</v>
      </c>
      <c r="T44" s="2">
        <v>194.5</v>
      </c>
      <c r="U44" s="2">
        <v>174.6</v>
      </c>
      <c r="V44" s="2">
        <v>187.2</v>
      </c>
      <c r="W44" s="2">
        <v>158.30000000000001</v>
      </c>
      <c r="X44" s="2">
        <v>153.9</v>
      </c>
      <c r="Y44" s="2">
        <v>170.9</v>
      </c>
      <c r="Z44" s="2">
        <v>121.1</v>
      </c>
      <c r="AA44" s="2">
        <v>208.4</v>
      </c>
      <c r="AB44" s="2">
        <v>171.4</v>
      </c>
      <c r="AC44" s="2">
        <v>191.2</v>
      </c>
      <c r="AD44" s="2">
        <v>176.7</v>
      </c>
      <c r="AE44" s="2">
        <v>198.2</v>
      </c>
      <c r="AF44" s="2">
        <v>184.9</v>
      </c>
      <c r="AG44" s="2">
        <v>177.6</v>
      </c>
      <c r="AH44" s="2">
        <v>183.8</v>
      </c>
      <c r="AI44" s="2" t="s">
        <v>161</v>
      </c>
      <c r="AJ44" s="2">
        <v>182</v>
      </c>
      <c r="AK44" s="2">
        <v>172.9</v>
      </c>
      <c r="AL44" s="56">
        <v>182.3</v>
      </c>
      <c r="AM44" s="2">
        <v>163.6</v>
      </c>
      <c r="AN44" s="2">
        <v>169.5</v>
      </c>
      <c r="AO44" s="2">
        <v>174.3</v>
      </c>
      <c r="AP44" s="2">
        <v>178.6</v>
      </c>
      <c r="AQ44" s="55">
        <f t="shared" si="5"/>
        <v>1394.1999999999998</v>
      </c>
      <c r="AR44" s="2">
        <v>172.8</v>
      </c>
      <c r="AS44" s="2">
        <v>176.5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C323-8602-41C0-8CD7-597CFDC8DDE1}">
  <sheetPr>
    <tabColor rgb="FF92D050"/>
  </sheetPr>
  <dimension ref="A1:O30"/>
  <sheetViews>
    <sheetView showGridLines="0" zoomScaleNormal="100" workbookViewId="0">
      <selection activeCell="J28" sqref="J28"/>
    </sheetView>
  </sheetViews>
  <sheetFormatPr defaultRowHeight="14.5" x14ac:dyDescent="0.35"/>
  <cols>
    <col min="7" max="7" width="10.81640625" bestFit="1" customWidth="1"/>
    <col min="9" max="9" width="10.36328125" bestFit="1" customWidth="1"/>
    <col min="10" max="10" width="10.26953125" bestFit="1" customWidth="1"/>
    <col min="12" max="12" width="9.7265625" bestFit="1" customWidth="1"/>
  </cols>
  <sheetData>
    <row r="1" spans="1:15" ht="15.5" x14ac:dyDescent="0.35">
      <c r="A1" s="26" t="s">
        <v>221</v>
      </c>
    </row>
    <row r="2" spans="1:15" ht="15.5" x14ac:dyDescent="0.35">
      <c r="A2" s="35" t="s">
        <v>270</v>
      </c>
    </row>
    <row r="4" spans="1:15" x14ac:dyDescent="0.35">
      <c r="A4" t="s">
        <v>272</v>
      </c>
    </row>
    <row r="5" spans="1:15" ht="15" x14ac:dyDescent="0.35">
      <c r="A5" s="27" t="s">
        <v>1</v>
      </c>
      <c r="B5" s="28">
        <v>33329</v>
      </c>
      <c r="C5" s="28">
        <v>33359</v>
      </c>
      <c r="D5" s="28">
        <v>33390</v>
      </c>
      <c r="E5" s="28">
        <v>33420</v>
      </c>
      <c r="F5" s="28">
        <v>33451</v>
      </c>
      <c r="G5" s="28">
        <v>33482</v>
      </c>
      <c r="H5" s="28">
        <v>33512</v>
      </c>
      <c r="I5" s="28">
        <v>33543</v>
      </c>
      <c r="J5" s="28">
        <v>33573</v>
      </c>
      <c r="K5" s="28">
        <v>33604</v>
      </c>
      <c r="L5" s="28">
        <v>33635</v>
      </c>
      <c r="M5" s="28">
        <v>33664</v>
      </c>
      <c r="N5" s="28" t="s">
        <v>222</v>
      </c>
      <c r="O5" s="28" t="s">
        <v>223</v>
      </c>
    </row>
    <row r="6" spans="1:15" ht="15.5" x14ac:dyDescent="0.35">
      <c r="A6" s="29" t="s">
        <v>224</v>
      </c>
      <c r="B6" s="30">
        <v>22.51</v>
      </c>
      <c r="C6" s="30">
        <v>26.6</v>
      </c>
      <c r="D6" s="30">
        <v>28.49</v>
      </c>
      <c r="E6" s="30">
        <v>27.26</v>
      </c>
      <c r="F6" s="30">
        <v>28.328848863636367</v>
      </c>
      <c r="G6" s="30">
        <v>31.34</v>
      </c>
      <c r="H6" s="30">
        <v>30.5</v>
      </c>
      <c r="I6" s="30">
        <v>30.926621590909097</v>
      </c>
      <c r="J6" s="30">
        <v>23.25</v>
      </c>
      <c r="K6" s="30">
        <v>24.02</v>
      </c>
      <c r="L6" s="30">
        <v>25.92</v>
      </c>
      <c r="M6" s="30">
        <v>23.82</v>
      </c>
      <c r="N6" s="31">
        <v>26.924166666666665</v>
      </c>
      <c r="O6" s="32" t="s">
        <v>225</v>
      </c>
    </row>
    <row r="7" spans="1:15" ht="15.5" x14ac:dyDescent="0.35">
      <c r="A7" s="33" t="s">
        <v>226</v>
      </c>
      <c r="B7" s="30">
        <v>24.82</v>
      </c>
      <c r="C7" s="30">
        <v>26.95</v>
      </c>
      <c r="D7" s="30">
        <v>26.63</v>
      </c>
      <c r="E7" s="30">
        <v>23.99</v>
      </c>
      <c r="F7" s="30">
        <v>25.01</v>
      </c>
      <c r="G7" s="30">
        <v>24.79</v>
      </c>
      <c r="H7" s="30">
        <v>20.05</v>
      </c>
      <c r="I7" s="30">
        <v>18.239999999999998</v>
      </c>
      <c r="J7" s="30">
        <v>18.239999999999998</v>
      </c>
      <c r="K7" s="30">
        <v>18.920000000000002</v>
      </c>
      <c r="L7" s="30">
        <v>19.529986842105259</v>
      </c>
      <c r="M7" s="30">
        <v>23.31</v>
      </c>
      <c r="N7" s="31">
        <v>22.551701476377943</v>
      </c>
      <c r="O7" s="32" t="s">
        <v>225</v>
      </c>
    </row>
    <row r="8" spans="1:15" ht="15.5" x14ac:dyDescent="0.35">
      <c r="A8" s="29" t="s">
        <v>227</v>
      </c>
      <c r="B8" s="30">
        <v>25.029405681818183</v>
      </c>
      <c r="C8" s="30">
        <v>24.994865217391304</v>
      </c>
      <c r="D8" s="30">
        <v>24.051813749999997</v>
      </c>
      <c r="E8" s="30">
        <v>25.183221739130431</v>
      </c>
      <c r="F8" s="30">
        <v>25.855818181818179</v>
      </c>
      <c r="G8" s="30">
        <v>27.495242857142859</v>
      </c>
      <c r="H8" s="30">
        <v>26.902101086956524</v>
      </c>
      <c r="I8" s="30">
        <v>23.682511904761906</v>
      </c>
      <c r="J8" s="30">
        <v>27.110101190476186</v>
      </c>
      <c r="K8" s="30">
        <v>29.592549999999996</v>
      </c>
      <c r="L8" s="30">
        <v>31.308380555555548</v>
      </c>
      <c r="M8" s="30">
        <v>28.825039285714286</v>
      </c>
      <c r="N8" s="31">
        <v>26.6</v>
      </c>
      <c r="O8" s="32" t="s">
        <v>225</v>
      </c>
    </row>
    <row r="9" spans="1:15" ht="15.5" x14ac:dyDescent="0.35">
      <c r="A9" s="33" t="s">
        <v>228</v>
      </c>
      <c r="B9" s="30">
        <v>24.214591666666667</v>
      </c>
      <c r="C9" s="30">
        <v>24.98887894736842</v>
      </c>
      <c r="D9" s="30">
        <v>26.425924999999999</v>
      </c>
      <c r="E9" s="30">
        <v>27.458449999999999</v>
      </c>
      <c r="F9" s="30">
        <v>28.663598809523808</v>
      </c>
      <c r="G9" s="30">
        <v>26.265218181818184</v>
      </c>
      <c r="H9" s="30">
        <v>28.449944318181817</v>
      </c>
      <c r="I9" s="30">
        <v>28.226284210526316</v>
      </c>
      <c r="J9" s="30">
        <v>28.966610714285707</v>
      </c>
      <c r="K9" s="30">
        <v>29.999534210526313</v>
      </c>
      <c r="L9" s="30">
        <v>29.647267105263154</v>
      </c>
      <c r="M9" s="30">
        <v>32.210322826086951</v>
      </c>
      <c r="N9" s="31">
        <v>27.98</v>
      </c>
      <c r="O9" s="32" t="s">
        <v>225</v>
      </c>
    </row>
    <row r="10" spans="1:15" ht="15.5" x14ac:dyDescent="0.35">
      <c r="A10" s="29" t="s">
        <v>229</v>
      </c>
      <c r="B10" s="30">
        <v>32.365204761904764</v>
      </c>
      <c r="C10" s="30">
        <v>36.078851249999992</v>
      </c>
      <c r="D10" s="30">
        <v>34.159547619047622</v>
      </c>
      <c r="E10" s="30">
        <v>36.353381818181809</v>
      </c>
      <c r="F10" s="30">
        <v>40.517199999999995</v>
      </c>
      <c r="G10" s="30">
        <v>39.149477272727275</v>
      </c>
      <c r="H10" s="30">
        <v>43.375466666666675</v>
      </c>
      <c r="I10" s="30">
        <v>38.898870000000002</v>
      </c>
      <c r="J10" s="30">
        <v>36.816215476190465</v>
      </c>
      <c r="K10" s="30">
        <v>40.96200249999999</v>
      </c>
      <c r="L10" s="30">
        <v>42.670598611111117</v>
      </c>
      <c r="M10" s="30">
        <v>49.27002045454546</v>
      </c>
      <c r="N10" s="31">
        <v>39.205833333333331</v>
      </c>
      <c r="O10" s="32" t="s">
        <v>225</v>
      </c>
    </row>
    <row r="11" spans="1:15" ht="15.5" x14ac:dyDescent="0.35">
      <c r="A11" s="33" t="s">
        <v>230</v>
      </c>
      <c r="B11" s="30">
        <v>49.427602380952379</v>
      </c>
      <c r="C11" s="30">
        <v>46.995223684210522</v>
      </c>
      <c r="D11" s="30">
        <v>52.720745454545458</v>
      </c>
      <c r="E11" s="30">
        <v>55.008083333333325</v>
      </c>
      <c r="F11" s="30">
        <v>60.048336363636373</v>
      </c>
      <c r="G11" s="30">
        <v>59.739213636363637</v>
      </c>
      <c r="H11" s="30">
        <v>56.279061904761896</v>
      </c>
      <c r="I11" s="30">
        <v>53.143807500000001</v>
      </c>
      <c r="J11" s="30">
        <v>55.045628571428587</v>
      </c>
      <c r="K11" s="30">
        <v>60.54291666666667</v>
      </c>
      <c r="L11" s="30">
        <v>58.953329999999994</v>
      </c>
      <c r="M11" s="30">
        <v>60.011573913043478</v>
      </c>
      <c r="N11" s="31">
        <v>55.720000000000006</v>
      </c>
      <c r="O11" s="32" t="s">
        <v>231</v>
      </c>
    </row>
    <row r="12" spans="1:15" ht="15.5" x14ac:dyDescent="0.35">
      <c r="A12" s="29" t="s">
        <v>232</v>
      </c>
      <c r="B12" s="30">
        <v>67.055031315789464</v>
      </c>
      <c r="C12" s="30">
        <v>67.22359075</v>
      </c>
      <c r="D12" s="30">
        <v>66.897534999999976</v>
      </c>
      <c r="E12" s="30">
        <v>71.285795238095261</v>
      </c>
      <c r="F12" s="30">
        <v>70.775921818181828</v>
      </c>
      <c r="G12" s="30">
        <v>60.933454285714276</v>
      </c>
      <c r="H12" s="30">
        <v>57.270684761904761</v>
      </c>
      <c r="I12" s="30">
        <v>57.793637500000003</v>
      </c>
      <c r="J12" s="30">
        <v>60.34467149999999</v>
      </c>
      <c r="K12" s="30">
        <v>52.529441428571438</v>
      </c>
      <c r="L12" s="30">
        <v>56.531044722222227</v>
      </c>
      <c r="M12" s="30">
        <v>60.262107954545442</v>
      </c>
      <c r="N12" s="31">
        <v>62.46</v>
      </c>
      <c r="O12" s="32" t="s">
        <v>233</v>
      </c>
    </row>
    <row r="13" spans="1:15" ht="15.5" x14ac:dyDescent="0.35">
      <c r="A13" s="33" t="s">
        <v>234</v>
      </c>
      <c r="B13" s="30">
        <v>65.481951250000009</v>
      </c>
      <c r="C13" s="30">
        <v>65.695437249999983</v>
      </c>
      <c r="D13" s="30">
        <v>68.099250714285716</v>
      </c>
      <c r="E13" s="30">
        <v>72.575061818181794</v>
      </c>
      <c r="F13" s="30">
        <v>68.982336590909085</v>
      </c>
      <c r="G13" s="30">
        <v>74.776604250000005</v>
      </c>
      <c r="H13" s="30">
        <v>79.327164347826084</v>
      </c>
      <c r="I13" s="30">
        <v>89.107013571428567</v>
      </c>
      <c r="J13" s="30">
        <v>87.921265000000034</v>
      </c>
      <c r="K13" s="30">
        <v>89.517554090909101</v>
      </c>
      <c r="L13" s="30">
        <v>92.374237368421049</v>
      </c>
      <c r="M13" s="30">
        <v>99.759819499999978</v>
      </c>
      <c r="N13" s="31">
        <v>79.249166666666667</v>
      </c>
      <c r="O13" s="32" t="s">
        <v>235</v>
      </c>
    </row>
    <row r="14" spans="1:15" ht="15.5" x14ac:dyDescent="0.35">
      <c r="A14" s="29" t="s">
        <v>236</v>
      </c>
      <c r="B14" s="30">
        <v>105.72015318181816</v>
      </c>
      <c r="C14" s="30">
        <v>120.90896144736843</v>
      </c>
      <c r="D14" s="30">
        <v>129.71535511904762</v>
      </c>
      <c r="E14" s="30">
        <v>132.47124826086957</v>
      </c>
      <c r="F14" s="30">
        <v>113.05438523809524</v>
      </c>
      <c r="G14" s="30">
        <v>96.812891590909103</v>
      </c>
      <c r="H14" s="30">
        <v>69.121526666666668</v>
      </c>
      <c r="I14" s="30">
        <v>50.907636000000011</v>
      </c>
      <c r="J14" s="30">
        <v>40.61143324999999</v>
      </c>
      <c r="K14" s="30">
        <v>43.986057631578959</v>
      </c>
      <c r="L14" s="30">
        <v>43.217028000000006</v>
      </c>
      <c r="M14" s="30">
        <v>46.021762045454544</v>
      </c>
      <c r="N14" s="31">
        <v>83.566666666666663</v>
      </c>
      <c r="O14" s="32" t="s">
        <v>237</v>
      </c>
    </row>
    <row r="15" spans="1:15" ht="15.5" x14ac:dyDescent="0.35">
      <c r="A15" s="33" t="s">
        <v>238</v>
      </c>
      <c r="B15" s="30">
        <v>50.135601875000006</v>
      </c>
      <c r="C15" s="30">
        <v>58.003360416666673</v>
      </c>
      <c r="D15" s="30">
        <v>69.115276136363633</v>
      </c>
      <c r="E15" s="30">
        <v>64.82460978260869</v>
      </c>
      <c r="F15" s="30">
        <v>71.979192105263166</v>
      </c>
      <c r="G15" s="30">
        <v>67.701650000000001</v>
      </c>
      <c r="H15" s="30">
        <v>73.064288636363642</v>
      </c>
      <c r="I15" s="30">
        <v>77.390866249999959</v>
      </c>
      <c r="J15" s="30">
        <v>75.01622261904761</v>
      </c>
      <c r="K15" s="30">
        <v>76.608826250000021</v>
      </c>
      <c r="L15" s="30">
        <v>73.694277777777771</v>
      </c>
      <c r="M15" s="30">
        <v>78.018300000000025</v>
      </c>
      <c r="N15" s="31">
        <v>69.762270040485845</v>
      </c>
      <c r="O15" s="32" t="s">
        <v>239</v>
      </c>
    </row>
    <row r="16" spans="1:15" ht="15.5" x14ac:dyDescent="0.35">
      <c r="A16" s="33" t="s">
        <v>240</v>
      </c>
      <c r="B16" s="30">
        <v>84.08172900000001</v>
      </c>
      <c r="C16" s="30">
        <v>76.161427777777774</v>
      </c>
      <c r="D16" s="30">
        <v>74.331090000000003</v>
      </c>
      <c r="E16" s="30">
        <v>73.543052272727266</v>
      </c>
      <c r="F16" s="30">
        <v>75.126988999999995</v>
      </c>
      <c r="G16" s="30">
        <v>76.092999999999989</v>
      </c>
      <c r="H16" s="30">
        <v>81.109814285714293</v>
      </c>
      <c r="I16" s="30">
        <v>84.255698500000008</v>
      </c>
      <c r="J16" s="30">
        <v>89.772982380952385</v>
      </c>
      <c r="K16" s="30">
        <v>93.868447999999987</v>
      </c>
      <c r="L16" s="30">
        <v>101.62099944444444</v>
      </c>
      <c r="M16" s="30">
        <v>110.71446956521741</v>
      </c>
      <c r="N16" s="31">
        <v>85.09</v>
      </c>
      <c r="O16" s="32" t="s">
        <v>241</v>
      </c>
    </row>
    <row r="17" spans="1:15" ht="15.5" x14ac:dyDescent="0.35">
      <c r="A17" s="33" t="s">
        <v>242</v>
      </c>
      <c r="B17" s="30">
        <v>118.63579277777778</v>
      </c>
      <c r="C17" s="30">
        <v>110.80254368421052</v>
      </c>
      <c r="D17" s="30">
        <v>109.99406772727275</v>
      </c>
      <c r="E17" s="30">
        <v>112.52711428571428</v>
      </c>
      <c r="F17" s="30">
        <v>106.93536000000002</v>
      </c>
      <c r="G17" s="30">
        <v>108.79064681818183</v>
      </c>
      <c r="H17" s="30">
        <v>106.10836949999998</v>
      </c>
      <c r="I17" s="30">
        <v>109.61574428571427</v>
      </c>
      <c r="J17" s="30">
        <v>107.19388799999999</v>
      </c>
      <c r="K17" s="30">
        <v>110.46828473684211</v>
      </c>
      <c r="L17" s="30">
        <v>117.66619714285711</v>
      </c>
      <c r="M17" s="30">
        <v>123.61055818181818</v>
      </c>
      <c r="N17" s="31">
        <v>111.89</v>
      </c>
      <c r="O17" s="32" t="s">
        <v>243</v>
      </c>
    </row>
    <row r="18" spans="1:15" ht="15.5" x14ac:dyDescent="0.35">
      <c r="A18" s="33" t="s">
        <v>244</v>
      </c>
      <c r="B18" s="30">
        <v>117.97451263157893</v>
      </c>
      <c r="C18" s="30">
        <v>108.05380666666667</v>
      </c>
      <c r="D18" s="30">
        <v>94.507602631578962</v>
      </c>
      <c r="E18" s="30">
        <v>100.33814000000001</v>
      </c>
      <c r="F18" s="30">
        <v>110.06828299999999</v>
      </c>
      <c r="G18" s="30">
        <v>111.77087950000001</v>
      </c>
      <c r="H18" s="30">
        <v>109.78858409090908</v>
      </c>
      <c r="I18" s="30">
        <v>107.87074714285717</v>
      </c>
      <c r="J18" s="30">
        <v>107.28096684210526</v>
      </c>
      <c r="K18" s="30">
        <v>109.55123681818182</v>
      </c>
      <c r="L18" s="30">
        <v>112.67557388888889</v>
      </c>
      <c r="M18" s="30">
        <v>106.44967000000001</v>
      </c>
      <c r="N18" s="31">
        <v>107.97</v>
      </c>
      <c r="O18" s="32" t="s">
        <v>245</v>
      </c>
    </row>
    <row r="19" spans="1:15" ht="15.5" x14ac:dyDescent="0.35">
      <c r="A19" s="29" t="s">
        <v>246</v>
      </c>
      <c r="B19" s="30">
        <v>101.57480404761903</v>
      </c>
      <c r="C19" s="30">
        <v>101.09704973684211</v>
      </c>
      <c r="D19" s="30">
        <v>101.11112850000002</v>
      </c>
      <c r="E19" s="30">
        <v>104.85975108695654</v>
      </c>
      <c r="F19" s="30">
        <v>108.45469894736839</v>
      </c>
      <c r="G19" s="30">
        <v>109.46571142857142</v>
      </c>
      <c r="H19" s="30">
        <v>107.37352068181818</v>
      </c>
      <c r="I19" s="30">
        <v>106.55480452380951</v>
      </c>
      <c r="J19" s="30">
        <v>108.71841975000002</v>
      </c>
      <c r="K19" s="30">
        <v>105.29499857142855</v>
      </c>
      <c r="L19" s="30">
        <v>106.18825474999998</v>
      </c>
      <c r="M19" s="30">
        <v>105.29528785714285</v>
      </c>
      <c r="N19" s="31">
        <v>105.52</v>
      </c>
      <c r="O19" s="32" t="s">
        <v>247</v>
      </c>
    </row>
    <row r="20" spans="1:15" ht="15.5" x14ac:dyDescent="0.35">
      <c r="A20" s="29" t="s">
        <v>248</v>
      </c>
      <c r="B20" s="30">
        <v>105.55533930000001</v>
      </c>
      <c r="C20" s="30">
        <v>106.85322644444446</v>
      </c>
      <c r="D20" s="30">
        <v>109.0539181904762</v>
      </c>
      <c r="E20" s="30">
        <v>106.2961561818182</v>
      </c>
      <c r="F20" s="30">
        <v>101.89198810000001</v>
      </c>
      <c r="G20" s="30">
        <v>96.959094045454563</v>
      </c>
      <c r="H20" s="30">
        <v>86.827638380952408</v>
      </c>
      <c r="I20" s="30">
        <v>77.581451350000009</v>
      </c>
      <c r="J20" s="30">
        <v>61.211098238095246</v>
      </c>
      <c r="K20" s="30">
        <v>46.586617428571437</v>
      </c>
      <c r="L20" s="30">
        <v>56.430382166666682</v>
      </c>
      <c r="M20" s="30">
        <v>55.176776090909101</v>
      </c>
      <c r="N20" s="31">
        <v>84.156300105691088</v>
      </c>
      <c r="O20" s="32" t="s">
        <v>249</v>
      </c>
    </row>
    <row r="21" spans="1:15" ht="15.5" x14ac:dyDescent="0.35">
      <c r="A21" s="29" t="s">
        <v>250</v>
      </c>
      <c r="B21" s="30">
        <v>59.070307599999992</v>
      </c>
      <c r="C21" s="30">
        <v>63.821381000000002</v>
      </c>
      <c r="D21" s="30">
        <v>61.745464190476184</v>
      </c>
      <c r="E21" s="30">
        <v>56.300030227272721</v>
      </c>
      <c r="F21" s="30">
        <v>47.327433333333339</v>
      </c>
      <c r="G21" s="30">
        <v>46.104868599999996</v>
      </c>
      <c r="H21" s="30">
        <v>46.675260727272715</v>
      </c>
      <c r="I21" s="30">
        <v>42.504005149999998</v>
      </c>
      <c r="J21" s="30">
        <v>35.680888380952382</v>
      </c>
      <c r="K21" s="30">
        <v>28.078798200000005</v>
      </c>
      <c r="L21" s="30">
        <v>30.525591894736845</v>
      </c>
      <c r="M21" s="30">
        <v>36.421309142857147</v>
      </c>
      <c r="N21" s="31">
        <v>46.16562723966944</v>
      </c>
      <c r="O21" s="32" t="s">
        <v>251</v>
      </c>
    </row>
    <row r="22" spans="1:15" ht="15.5" x14ac:dyDescent="0.35">
      <c r="A22" s="29" t="s">
        <v>252</v>
      </c>
      <c r="B22" s="30">
        <v>39.879094571428574</v>
      </c>
      <c r="C22" s="30">
        <v>45.006805849999999</v>
      </c>
      <c r="D22" s="30">
        <v>46.963111931818183</v>
      </c>
      <c r="E22" s="30">
        <v>43.519136674999999</v>
      </c>
      <c r="F22" s="30">
        <v>44.384978928571435</v>
      </c>
      <c r="G22" s="30">
        <v>44.480860166666659</v>
      </c>
      <c r="H22" s="30">
        <v>49.252621083333331</v>
      </c>
      <c r="I22" s="30">
        <v>44.456194318181822</v>
      </c>
      <c r="J22" s="30">
        <v>52.735649124999995</v>
      </c>
      <c r="K22" s="30">
        <v>54.077528250000015</v>
      </c>
      <c r="L22" s="30">
        <v>54.86268470000001</v>
      </c>
      <c r="M22" s="30">
        <v>51.469629652173914</v>
      </c>
      <c r="N22" s="31">
        <v>47.557812594621531</v>
      </c>
      <c r="O22" s="32" t="s">
        <v>253</v>
      </c>
    </row>
    <row r="23" spans="1:15" ht="15.5" x14ac:dyDescent="0.35">
      <c r="A23" s="29" t="s">
        <v>254</v>
      </c>
      <c r="B23" s="30">
        <v>52.490691055555551</v>
      </c>
      <c r="C23" s="30">
        <v>50.567623025000003</v>
      </c>
      <c r="D23" s="30">
        <v>46.555774</v>
      </c>
      <c r="E23" s="30">
        <v>47.857632880952387</v>
      </c>
      <c r="F23" s="30">
        <v>50.633570880952391</v>
      </c>
      <c r="G23" s="30">
        <v>54.523307750000001</v>
      </c>
      <c r="H23" s="30">
        <v>56.059518095238097</v>
      </c>
      <c r="I23" s="30">
        <v>61.315904545454551</v>
      </c>
      <c r="J23" s="30">
        <v>62.290080157894742</v>
      </c>
      <c r="K23" s="30">
        <v>67.060153386363623</v>
      </c>
      <c r="L23" s="30">
        <v>63.537335763157884</v>
      </c>
      <c r="M23" s="30">
        <v>63.795413214285702</v>
      </c>
      <c r="N23" s="31">
        <v>56.426878865306136</v>
      </c>
      <c r="O23" s="32" t="s">
        <v>255</v>
      </c>
    </row>
    <row r="24" spans="1:15" ht="15.5" x14ac:dyDescent="0.35">
      <c r="A24" s="29" t="s">
        <v>205</v>
      </c>
      <c r="B24" s="30">
        <v>69.219098437499994</v>
      </c>
      <c r="C24" s="30">
        <v>75.252045250000009</v>
      </c>
      <c r="D24" s="30">
        <v>73.825793025000024</v>
      </c>
      <c r="E24" s="30">
        <v>73.468274863636353</v>
      </c>
      <c r="F24" s="30">
        <v>72.5347376</v>
      </c>
      <c r="G24" s="30">
        <v>77.883389637499988</v>
      </c>
      <c r="H24" s="30">
        <v>80.082670250000007</v>
      </c>
      <c r="I24" s="30">
        <v>65.399219369047628</v>
      </c>
      <c r="J24" s="30">
        <v>57.772638352941186</v>
      </c>
      <c r="K24" s="30">
        <v>59.26800257954546</v>
      </c>
      <c r="L24" s="30">
        <v>64.534530625000002</v>
      </c>
      <c r="M24" s="30">
        <v>66.739999999999995</v>
      </c>
      <c r="N24" s="31">
        <v>69.88</v>
      </c>
      <c r="O24" s="32" t="s">
        <v>256</v>
      </c>
    </row>
    <row r="25" spans="1:15" ht="15.5" x14ac:dyDescent="0.35">
      <c r="A25" s="29" t="s">
        <v>209</v>
      </c>
      <c r="B25" s="30">
        <v>71.000922499999987</v>
      </c>
      <c r="C25" s="30">
        <v>70.013724342105249</v>
      </c>
      <c r="D25" s="30">
        <v>62.374424999999988</v>
      </c>
      <c r="E25" s="30">
        <v>63.627010326086953</v>
      </c>
      <c r="F25" s="30">
        <v>59.349817105263163</v>
      </c>
      <c r="G25" s="30">
        <v>61.723273214285719</v>
      </c>
      <c r="H25" s="30">
        <v>59.703420454545466</v>
      </c>
      <c r="I25" s="30">
        <v>62.53257261904762</v>
      </c>
      <c r="J25" s="30">
        <v>65.502042500000016</v>
      </c>
      <c r="K25" s="30">
        <v>64.309747023809535</v>
      </c>
      <c r="L25" s="30">
        <v>54.627359999999996</v>
      </c>
      <c r="M25" s="30">
        <v>33.358738068181822</v>
      </c>
      <c r="N25" s="31">
        <v>60.470826062752998</v>
      </c>
      <c r="O25" s="32" t="s">
        <v>257</v>
      </c>
    </row>
    <row r="26" spans="1:15" ht="15.5" x14ac:dyDescent="0.35">
      <c r="A26" s="29" t="s">
        <v>206</v>
      </c>
      <c r="B26" s="30">
        <v>19.901683749999997</v>
      </c>
      <c r="C26" s="30">
        <v>30.605539617647054</v>
      </c>
      <c r="D26" s="30">
        <v>40.633868636363637</v>
      </c>
      <c r="E26" s="30">
        <v>43.347552547619046</v>
      </c>
      <c r="F26" s="30">
        <v>44.190017605263151</v>
      </c>
      <c r="G26" s="30">
        <v>41.35410665909091</v>
      </c>
      <c r="H26" s="30">
        <v>40.658228000000001</v>
      </c>
      <c r="I26" s="30">
        <v>43.340640499999999</v>
      </c>
      <c r="J26" s="30">
        <v>49.839816952380943</v>
      </c>
      <c r="K26" s="34">
        <v>54.794569624999994</v>
      </c>
      <c r="L26" s="34">
        <v>61.216117289473672</v>
      </c>
      <c r="M26" s="34">
        <v>64.729496782608663</v>
      </c>
      <c r="N26" s="31">
        <v>44.821938917004019</v>
      </c>
      <c r="O26" s="32" t="s">
        <v>258</v>
      </c>
    </row>
    <row r="27" spans="1:15" ht="15.5" x14ac:dyDescent="0.35">
      <c r="A27" s="29" t="s">
        <v>207</v>
      </c>
      <c r="B27" s="34">
        <v>63.396976500000008</v>
      </c>
      <c r="C27" s="34">
        <v>66.953084852941174</v>
      </c>
      <c r="D27" s="34">
        <v>71.982647477272721</v>
      </c>
      <c r="E27" s="34">
        <v>73.539060523809511</v>
      </c>
      <c r="F27" s="34">
        <v>69.804724424999989</v>
      </c>
      <c r="G27" s="34">
        <v>73.130738295454549</v>
      </c>
      <c r="H27" s="34">
        <v>82.107393785714294</v>
      </c>
      <c r="I27" s="34">
        <v>80.637301023809528</v>
      </c>
      <c r="J27" s="34">
        <v>73.298823523809531</v>
      </c>
      <c r="K27" s="34">
        <v>84.666318799999985</v>
      </c>
      <c r="L27" s="34">
        <v>94.067715194444446</v>
      </c>
      <c r="M27" s="34">
        <v>112.87479254347826</v>
      </c>
      <c r="N27" s="31">
        <v>79.181425130081294</v>
      </c>
      <c r="O27" s="32" t="s">
        <v>258</v>
      </c>
    </row>
    <row r="28" spans="1:15" ht="15.5" x14ac:dyDescent="0.35">
      <c r="A28" s="29" t="s">
        <v>208</v>
      </c>
      <c r="B28" s="34">
        <v>102.96599786842103</v>
      </c>
      <c r="C28" s="34">
        <v>109.50503773684208</v>
      </c>
      <c r="D28" s="34">
        <v>116.01138504999999</v>
      </c>
      <c r="E28" s="34">
        <v>105.49124737500001</v>
      </c>
      <c r="F28" s="34">
        <v>97.404465428571427</v>
      </c>
      <c r="G28" s="34">
        <v>90.706344809523813</v>
      </c>
      <c r="H28" s="34">
        <v>91.698948700000003</v>
      </c>
      <c r="I28" s="34">
        <v>87.552266068181822</v>
      </c>
      <c r="J28" s="34">
        <v>78.100942275000008</v>
      </c>
      <c r="K28" s="30">
        <v>80.922269684210534</v>
      </c>
      <c r="L28" s="30">
        <v>82.278706675000009</v>
      </c>
      <c r="M28" s="30">
        <v>78.539480282608693</v>
      </c>
      <c r="N28" s="31">
        <v>93.151566872950767</v>
      </c>
      <c r="O28" s="32" t="s">
        <v>258</v>
      </c>
    </row>
    <row r="29" spans="1:15" ht="15.5" x14ac:dyDescent="0.35">
      <c r="A29" s="29" t="s">
        <v>259</v>
      </c>
      <c r="B29" s="30">
        <v>83.755358416666667</v>
      </c>
      <c r="C29" s="30">
        <v>74.981547824999993</v>
      </c>
      <c r="D29" s="30">
        <v>74.928252024999992</v>
      </c>
      <c r="E29" s="30">
        <v>80.368492428571415</v>
      </c>
      <c r="F29" s="30">
        <v>86.426703761904761</v>
      </c>
      <c r="G29" s="30">
        <v>93.539339400000003</v>
      </c>
      <c r="H29" s="30">
        <v>90.080343022727263</v>
      </c>
      <c r="I29" s="30">
        <v>83.455368214285699</v>
      </c>
      <c r="J29" s="30">
        <v>77.419721631578938</v>
      </c>
      <c r="K29" s="30">
        <v>79.216541545454547</v>
      </c>
      <c r="L29" s="30">
        <v>81.621881399999992</v>
      </c>
      <c r="M29" s="30">
        <v>84.486883150000011</v>
      </c>
      <c r="N29" s="31">
        <v>82.580010456967216</v>
      </c>
      <c r="O29" s="32" t="s">
        <v>258</v>
      </c>
    </row>
    <row r="30" spans="1:15" ht="15.5" x14ac:dyDescent="0.35">
      <c r="A30" s="29" t="s">
        <v>260</v>
      </c>
      <c r="B30" s="30">
        <v>89.437476250000003</v>
      </c>
      <c r="C30" s="30">
        <v>83.624938157894732</v>
      </c>
      <c r="D30" s="30">
        <v>82.552871052631588</v>
      </c>
      <c r="E30" s="30">
        <v>84.148165217391295</v>
      </c>
      <c r="F30" s="30">
        <v>78.270687499999994</v>
      </c>
      <c r="G30" s="30">
        <v>73.694888690476205</v>
      </c>
      <c r="H30" s="30">
        <v>75.124704545454534</v>
      </c>
      <c r="I30" s="30">
        <v>73.016986904761893</v>
      </c>
      <c r="J30" s="30">
        <v>73.336846874999978</v>
      </c>
      <c r="K30" s="30">
        <v>80.196197499999997</v>
      </c>
      <c r="L30" s="30">
        <v>77.328566875000007</v>
      </c>
      <c r="M30" s="30">
        <v>72.466606250000012</v>
      </c>
      <c r="N30" s="31">
        <v>78.560027295918331</v>
      </c>
      <c r="O30" s="32" t="s">
        <v>261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437E-D4BC-4DA4-932B-5949ABFC81A2}">
  <sheetPr>
    <tabColor rgb="FF92D050"/>
  </sheetPr>
  <dimension ref="A1:AC90"/>
  <sheetViews>
    <sheetView showGridLines="0" topLeftCell="A61" workbookViewId="0">
      <selection activeCell="Y3" sqref="Y3"/>
    </sheetView>
  </sheetViews>
  <sheetFormatPr defaultRowHeight="14.5" x14ac:dyDescent="0.35"/>
  <cols>
    <col min="2" max="2" width="15.54296875" customWidth="1"/>
    <col min="3" max="3" width="24" bestFit="1" customWidth="1"/>
    <col min="4" max="4" width="15.6328125" bestFit="1" customWidth="1"/>
    <col min="5" max="5" width="6.26953125" bestFit="1" customWidth="1"/>
    <col min="6" max="6" width="20.453125" bestFit="1" customWidth="1"/>
    <col min="7" max="7" width="14.453125" bestFit="1" customWidth="1"/>
    <col min="8" max="8" width="7.1796875" bestFit="1" customWidth="1"/>
    <col min="9" max="9" width="12.90625" bestFit="1" customWidth="1"/>
    <col min="10" max="10" width="23" bestFit="1" customWidth="1"/>
    <col min="11" max="11" width="28.08984375" bestFit="1" customWidth="1"/>
    <col min="12" max="12" width="7.90625" bestFit="1" customWidth="1"/>
    <col min="13" max="13" width="28.08984375" bestFit="1" customWidth="1"/>
    <col min="14" max="14" width="40.7265625" bestFit="1" customWidth="1"/>
    <col min="15" max="15" width="23" bestFit="1" customWidth="1"/>
    <col min="16" max="16" width="32.90625" bestFit="1" customWidth="1"/>
    <col min="17" max="17" width="10.08984375" bestFit="1" customWidth="1"/>
    <col min="18" max="18" width="11.26953125" bestFit="1" customWidth="1"/>
    <col min="19" max="19" width="25.54296875" bestFit="1" customWidth="1"/>
    <col min="20" max="20" width="9.81640625" bestFit="1" customWidth="1"/>
    <col min="21" max="21" width="15.81640625" bestFit="1" customWidth="1"/>
    <col min="22" max="22" width="34.1796875" bestFit="1" customWidth="1"/>
    <col min="23" max="23" width="8.08984375" bestFit="1" customWidth="1"/>
    <col min="24" max="24" width="34.1796875" bestFit="1" customWidth="1"/>
    <col min="25" max="25" width="31.1796875" bestFit="1" customWidth="1"/>
    <col min="26" max="26" width="11.81640625" bestFit="1" customWidth="1"/>
    <col min="27" max="27" width="28.6328125" bestFit="1" customWidth="1"/>
    <col min="28" max="28" width="16.1796875" bestFit="1" customWidth="1"/>
    <col min="29" max="29" width="16.08984375" bestFit="1" customWidth="1"/>
  </cols>
  <sheetData>
    <row r="1" spans="1:29" x14ac:dyDescent="0.35">
      <c r="A1" s="38" t="s">
        <v>271</v>
      </c>
    </row>
    <row r="2" spans="1:29" x14ac:dyDescent="0.35">
      <c r="A2" s="4" t="s">
        <v>264</v>
      </c>
      <c r="C2" s="73" t="s">
        <v>265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</row>
    <row r="3" spans="1:29" x14ac:dyDescent="0.35">
      <c r="C3" s="74">
        <f>CORREL($B$5:$B$28,C5:C28)</f>
        <v>0.50454041340920452</v>
      </c>
      <c r="D3" s="75">
        <f>CORREL($B$5:$B$28,D5:D28)</f>
        <v>0.83352109944434605</v>
      </c>
      <c r="E3" s="76">
        <f t="shared" ref="E3:AC3" si="0">CORREL($B$5:$B$28,E5:E28)</f>
        <v>-0.19207235941776168</v>
      </c>
      <c r="F3" s="74">
        <f t="shared" si="0"/>
        <v>0.6340052374889823</v>
      </c>
      <c r="G3" s="75">
        <f t="shared" si="0"/>
        <v>0.82628872856454783</v>
      </c>
      <c r="H3" s="74">
        <f t="shared" si="0"/>
        <v>0.65128163178040821</v>
      </c>
      <c r="I3" s="74">
        <f t="shared" si="0"/>
        <v>0.27068870012139146</v>
      </c>
      <c r="J3" s="74">
        <f t="shared" si="0"/>
        <v>0.45230739807610421</v>
      </c>
      <c r="K3" s="74">
        <f t="shared" si="0"/>
        <v>0.57811683085801635</v>
      </c>
      <c r="L3" s="74">
        <f t="shared" si="0"/>
        <v>0.59421077049435145</v>
      </c>
      <c r="M3" s="74">
        <f t="shared" si="0"/>
        <v>0.77277143172658247</v>
      </c>
      <c r="N3" s="74">
        <f t="shared" si="0"/>
        <v>0.72397422967409464</v>
      </c>
      <c r="O3" s="74">
        <f t="shared" si="0"/>
        <v>0.70435771982748996</v>
      </c>
      <c r="P3" s="74">
        <f t="shared" si="0"/>
        <v>0.71743721127956239</v>
      </c>
      <c r="Q3" s="74">
        <f t="shared" si="0"/>
        <v>0.7379643460114349</v>
      </c>
      <c r="R3" s="74">
        <f t="shared" si="0"/>
        <v>0.75701257305293457</v>
      </c>
      <c r="S3" s="74">
        <f t="shared" si="0"/>
        <v>0.74085413947798273</v>
      </c>
      <c r="T3" s="74" t="e">
        <f t="shared" si="0"/>
        <v>#DIV/0!</v>
      </c>
      <c r="U3" s="74">
        <f t="shared" si="0"/>
        <v>0.7414609762756631</v>
      </c>
      <c r="V3" s="74">
        <f t="shared" si="0"/>
        <v>0.72142310141555366</v>
      </c>
      <c r="W3" s="74">
        <f t="shared" si="0"/>
        <v>0.74410353263817419</v>
      </c>
      <c r="X3" s="75">
        <f t="shared" si="0"/>
        <v>0.81375235971738413</v>
      </c>
      <c r="Y3" s="75">
        <f t="shared" si="0"/>
        <v>0.77332867946311279</v>
      </c>
      <c r="Z3" s="74">
        <f t="shared" si="0"/>
        <v>0.66866872667437949</v>
      </c>
      <c r="AA3" s="74">
        <f t="shared" si="0"/>
        <v>0.74241589021232013</v>
      </c>
      <c r="AB3" s="74">
        <f t="shared" si="0"/>
        <v>0.76308725993468152</v>
      </c>
      <c r="AC3" s="74">
        <f t="shared" si="0"/>
        <v>0.73352064606393874</v>
      </c>
    </row>
    <row r="4" spans="1:29" ht="15" x14ac:dyDescent="0.35">
      <c r="A4" s="1" t="s">
        <v>263</v>
      </c>
      <c r="B4" s="1" t="s">
        <v>262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</row>
    <row r="5" spans="1:29" ht="15.5" x14ac:dyDescent="0.35">
      <c r="A5" s="37">
        <v>44197</v>
      </c>
      <c r="B5" s="36">
        <v>54.794569624999994</v>
      </c>
      <c r="C5" s="2">
        <v>143.4</v>
      </c>
      <c r="D5" s="2">
        <v>187.5</v>
      </c>
      <c r="E5" s="2">
        <v>173.4</v>
      </c>
      <c r="F5" s="2">
        <v>154</v>
      </c>
      <c r="G5" s="2">
        <v>154.80000000000001</v>
      </c>
      <c r="H5" s="2">
        <v>147</v>
      </c>
      <c r="I5" s="2">
        <v>187.8</v>
      </c>
      <c r="J5" s="2">
        <v>159.5</v>
      </c>
      <c r="K5" s="2">
        <v>113.8</v>
      </c>
      <c r="L5" s="2">
        <v>164.5</v>
      </c>
      <c r="M5" s="2">
        <v>156.1</v>
      </c>
      <c r="N5" s="2">
        <v>164.3</v>
      </c>
      <c r="O5" s="2">
        <v>159.6</v>
      </c>
      <c r="P5" s="2">
        <v>184.6</v>
      </c>
      <c r="Q5" s="2">
        <v>157.5</v>
      </c>
      <c r="R5" s="2">
        <v>152.4</v>
      </c>
      <c r="S5" s="2">
        <v>156.80000000000001</v>
      </c>
      <c r="T5" s="2" t="s">
        <v>32</v>
      </c>
      <c r="U5" s="2">
        <v>150.9</v>
      </c>
      <c r="V5" s="2">
        <v>153.9</v>
      </c>
      <c r="W5" s="2">
        <v>162.5</v>
      </c>
      <c r="X5" s="2">
        <v>147.5</v>
      </c>
      <c r="Y5" s="2">
        <v>155.1</v>
      </c>
      <c r="Z5" s="2">
        <v>163.5</v>
      </c>
      <c r="AA5" s="2">
        <v>156.19999999999999</v>
      </c>
      <c r="AB5" s="2">
        <v>155.9</v>
      </c>
      <c r="AC5" s="2">
        <v>158.5</v>
      </c>
    </row>
    <row r="6" spans="1:29" ht="15.5" x14ac:dyDescent="0.35">
      <c r="A6" s="37">
        <v>44228</v>
      </c>
      <c r="B6" s="36">
        <v>61.216117289473672</v>
      </c>
      <c r="C6" s="2">
        <v>142.80000000000001</v>
      </c>
      <c r="D6" s="2">
        <v>184</v>
      </c>
      <c r="E6" s="2">
        <v>168</v>
      </c>
      <c r="F6" s="2">
        <v>154.4</v>
      </c>
      <c r="G6" s="2">
        <v>163</v>
      </c>
      <c r="H6" s="2">
        <v>147.80000000000001</v>
      </c>
      <c r="I6" s="2">
        <v>149.69999999999999</v>
      </c>
      <c r="J6" s="2">
        <v>158.30000000000001</v>
      </c>
      <c r="K6" s="2">
        <v>111.8</v>
      </c>
      <c r="L6" s="2">
        <v>165</v>
      </c>
      <c r="M6" s="2">
        <v>160</v>
      </c>
      <c r="N6" s="2">
        <v>165.8</v>
      </c>
      <c r="O6" s="2">
        <v>154.69999999999999</v>
      </c>
      <c r="P6" s="2">
        <v>186.5</v>
      </c>
      <c r="Q6" s="2">
        <v>159.1</v>
      </c>
      <c r="R6" s="2">
        <v>153.9</v>
      </c>
      <c r="S6" s="2">
        <v>158.4</v>
      </c>
      <c r="T6" s="2" t="s">
        <v>32</v>
      </c>
      <c r="U6" s="2">
        <v>154.4</v>
      </c>
      <c r="V6" s="2">
        <v>154.80000000000001</v>
      </c>
      <c r="W6" s="2">
        <v>164.3</v>
      </c>
      <c r="X6" s="2">
        <v>150.19999999999999</v>
      </c>
      <c r="Y6" s="2">
        <v>157</v>
      </c>
      <c r="Z6" s="2">
        <v>163.6</v>
      </c>
      <c r="AA6" s="2">
        <v>155.19999999999999</v>
      </c>
      <c r="AB6" s="2">
        <v>157.19999999999999</v>
      </c>
      <c r="AC6" s="2">
        <v>156.69999999999999</v>
      </c>
    </row>
    <row r="7" spans="1:29" ht="15.5" x14ac:dyDescent="0.35">
      <c r="A7" s="37">
        <v>44256</v>
      </c>
      <c r="B7" s="36">
        <v>64.729496782608663</v>
      </c>
      <c r="C7" s="2">
        <v>142.5</v>
      </c>
      <c r="D7" s="2">
        <v>189.4</v>
      </c>
      <c r="E7" s="2">
        <v>163.19999999999999</v>
      </c>
      <c r="F7" s="2">
        <v>154.5</v>
      </c>
      <c r="G7" s="2">
        <v>168.2</v>
      </c>
      <c r="H7" s="2">
        <v>150.5</v>
      </c>
      <c r="I7" s="2">
        <v>141</v>
      </c>
      <c r="J7" s="2">
        <v>159.19999999999999</v>
      </c>
      <c r="K7" s="2">
        <v>111.7</v>
      </c>
      <c r="L7" s="2">
        <v>164</v>
      </c>
      <c r="M7" s="2">
        <v>160.6</v>
      </c>
      <c r="N7" s="2">
        <v>166.4</v>
      </c>
      <c r="O7" s="2">
        <v>154.5</v>
      </c>
      <c r="P7" s="2">
        <v>186.1</v>
      </c>
      <c r="Q7" s="2">
        <v>159.6</v>
      </c>
      <c r="R7" s="2">
        <v>154.4</v>
      </c>
      <c r="S7" s="2">
        <v>158.9</v>
      </c>
      <c r="T7" s="2" t="s">
        <v>139</v>
      </c>
      <c r="U7" s="2">
        <v>156</v>
      </c>
      <c r="V7" s="2">
        <v>154.80000000000001</v>
      </c>
      <c r="W7" s="2">
        <v>164.6</v>
      </c>
      <c r="X7" s="2">
        <v>151.30000000000001</v>
      </c>
      <c r="Y7" s="2">
        <v>157.80000000000001</v>
      </c>
      <c r="Z7" s="2">
        <v>163.80000000000001</v>
      </c>
      <c r="AA7" s="2">
        <v>153.1</v>
      </c>
      <c r="AB7" s="2">
        <v>157.30000000000001</v>
      </c>
      <c r="AC7" s="2">
        <v>156.69999999999999</v>
      </c>
    </row>
    <row r="8" spans="1:29" ht="15.5" x14ac:dyDescent="0.35">
      <c r="A8" s="37">
        <v>44287</v>
      </c>
      <c r="B8" s="36">
        <v>63.396976500000008</v>
      </c>
      <c r="C8" s="2">
        <v>142.69999999999999</v>
      </c>
      <c r="D8" s="2">
        <v>195.5</v>
      </c>
      <c r="E8" s="2">
        <v>163.4</v>
      </c>
      <c r="F8" s="2">
        <v>155</v>
      </c>
      <c r="G8" s="2">
        <v>175.2</v>
      </c>
      <c r="H8" s="2">
        <v>160.6</v>
      </c>
      <c r="I8" s="2">
        <v>135.1</v>
      </c>
      <c r="J8" s="2">
        <v>161.1</v>
      </c>
      <c r="K8" s="2">
        <v>112.2</v>
      </c>
      <c r="L8" s="2">
        <v>164.4</v>
      </c>
      <c r="M8" s="2">
        <v>161.9</v>
      </c>
      <c r="N8" s="2">
        <v>166.8</v>
      </c>
      <c r="O8" s="2">
        <v>155.6</v>
      </c>
      <c r="P8" s="2">
        <v>186.8</v>
      </c>
      <c r="Q8" s="2">
        <v>160.69999999999999</v>
      </c>
      <c r="R8" s="2">
        <v>155.1</v>
      </c>
      <c r="S8" s="2">
        <v>159.9</v>
      </c>
      <c r="T8" s="2" t="s">
        <v>139</v>
      </c>
      <c r="U8" s="2">
        <v>156</v>
      </c>
      <c r="V8" s="2">
        <v>155.5</v>
      </c>
      <c r="W8" s="2">
        <v>165.3</v>
      </c>
      <c r="X8" s="2">
        <v>151.69999999999999</v>
      </c>
      <c r="Y8" s="2">
        <v>158.6</v>
      </c>
      <c r="Z8" s="2">
        <v>164.1</v>
      </c>
      <c r="AA8" s="2">
        <v>154.6</v>
      </c>
      <c r="AB8" s="2">
        <v>158</v>
      </c>
      <c r="AC8" s="2">
        <v>157.6</v>
      </c>
    </row>
    <row r="9" spans="1:29" ht="15.5" x14ac:dyDescent="0.35">
      <c r="A9" s="37">
        <v>44317</v>
      </c>
      <c r="B9" s="36">
        <v>66.953084852941174</v>
      </c>
      <c r="C9" s="2">
        <v>145.1</v>
      </c>
      <c r="D9" s="2">
        <v>198.5</v>
      </c>
      <c r="E9" s="2">
        <v>168.6</v>
      </c>
      <c r="F9" s="2">
        <v>155.80000000000001</v>
      </c>
      <c r="G9" s="2">
        <v>184.4</v>
      </c>
      <c r="H9" s="2">
        <v>162.30000000000001</v>
      </c>
      <c r="I9" s="2">
        <v>138.4</v>
      </c>
      <c r="J9" s="2">
        <v>165.1</v>
      </c>
      <c r="K9" s="2">
        <v>114.3</v>
      </c>
      <c r="L9" s="2">
        <v>169.7</v>
      </c>
      <c r="M9" s="2">
        <v>164.6</v>
      </c>
      <c r="N9" s="2">
        <v>169.8</v>
      </c>
      <c r="O9" s="2">
        <v>158.69999999999999</v>
      </c>
      <c r="P9" s="2">
        <v>189.6</v>
      </c>
      <c r="Q9" s="2">
        <v>165.3</v>
      </c>
      <c r="R9" s="2">
        <v>160.6</v>
      </c>
      <c r="S9" s="2">
        <v>164.5</v>
      </c>
      <c r="T9" s="2" t="s">
        <v>32</v>
      </c>
      <c r="U9" s="2">
        <v>161.69999999999999</v>
      </c>
      <c r="V9" s="2">
        <v>158.80000000000001</v>
      </c>
      <c r="W9" s="2">
        <v>169.1</v>
      </c>
      <c r="X9" s="2">
        <v>153.19999999999999</v>
      </c>
      <c r="Y9" s="2">
        <v>160</v>
      </c>
      <c r="Z9" s="2">
        <v>167.6</v>
      </c>
      <c r="AA9" s="2">
        <v>159.30000000000001</v>
      </c>
      <c r="AB9" s="2">
        <v>161.1</v>
      </c>
      <c r="AC9" s="2">
        <v>161.1</v>
      </c>
    </row>
    <row r="10" spans="1:29" ht="15.5" x14ac:dyDescent="0.35">
      <c r="A10" s="37">
        <v>44348</v>
      </c>
      <c r="B10" s="36">
        <v>71.982647477272721</v>
      </c>
      <c r="C10" s="2">
        <v>145.6</v>
      </c>
      <c r="D10" s="2">
        <v>200.1</v>
      </c>
      <c r="E10" s="2">
        <v>179.3</v>
      </c>
      <c r="F10" s="2">
        <v>156.1</v>
      </c>
      <c r="G10" s="2">
        <v>190.4</v>
      </c>
      <c r="H10" s="2">
        <v>158.6</v>
      </c>
      <c r="I10" s="2">
        <v>144.69999999999999</v>
      </c>
      <c r="J10" s="2">
        <v>165.5</v>
      </c>
      <c r="K10" s="2">
        <v>114.6</v>
      </c>
      <c r="L10" s="2">
        <v>170</v>
      </c>
      <c r="M10" s="2">
        <v>165.5</v>
      </c>
      <c r="N10" s="2">
        <v>171.7</v>
      </c>
      <c r="O10" s="2">
        <v>160.5</v>
      </c>
      <c r="P10" s="2">
        <v>189.1</v>
      </c>
      <c r="Q10" s="2">
        <v>165.3</v>
      </c>
      <c r="R10" s="2">
        <v>159.9</v>
      </c>
      <c r="S10" s="2">
        <v>164.6</v>
      </c>
      <c r="T10" s="2" t="s">
        <v>32</v>
      </c>
      <c r="U10" s="2">
        <v>162.1</v>
      </c>
      <c r="V10" s="2">
        <v>159.19999999999999</v>
      </c>
      <c r="W10" s="2">
        <v>169.7</v>
      </c>
      <c r="X10" s="2">
        <v>154.19999999999999</v>
      </c>
      <c r="Y10" s="2">
        <v>160.4</v>
      </c>
      <c r="Z10" s="2">
        <v>166.8</v>
      </c>
      <c r="AA10" s="2">
        <v>159.4</v>
      </c>
      <c r="AB10" s="2">
        <v>161.5</v>
      </c>
      <c r="AC10" s="2">
        <v>162.1</v>
      </c>
    </row>
    <row r="11" spans="1:29" ht="15.5" x14ac:dyDescent="0.35">
      <c r="A11" s="37">
        <v>44378</v>
      </c>
      <c r="B11" s="36">
        <v>73.539060523809511</v>
      </c>
      <c r="C11" s="2">
        <v>145.1</v>
      </c>
      <c r="D11" s="2">
        <v>204.5</v>
      </c>
      <c r="E11" s="2">
        <v>180.4</v>
      </c>
      <c r="F11" s="2">
        <v>157.1</v>
      </c>
      <c r="G11" s="2">
        <v>188.7</v>
      </c>
      <c r="H11" s="2">
        <v>157.69999999999999</v>
      </c>
      <c r="I11" s="2">
        <v>152.80000000000001</v>
      </c>
      <c r="J11" s="2">
        <v>163.6</v>
      </c>
      <c r="K11" s="2">
        <v>113.9</v>
      </c>
      <c r="L11" s="2">
        <v>169.7</v>
      </c>
      <c r="M11" s="2">
        <v>166.2</v>
      </c>
      <c r="N11" s="2">
        <v>171</v>
      </c>
      <c r="O11" s="2">
        <v>161.69999999999999</v>
      </c>
      <c r="P11" s="2">
        <v>189.7</v>
      </c>
      <c r="Q11" s="2">
        <v>166</v>
      </c>
      <c r="R11" s="2">
        <v>161.1</v>
      </c>
      <c r="S11" s="2">
        <v>165.3</v>
      </c>
      <c r="T11" s="2" t="s">
        <v>32</v>
      </c>
      <c r="U11" s="2">
        <v>162.5</v>
      </c>
      <c r="V11" s="2">
        <v>160.30000000000001</v>
      </c>
      <c r="W11" s="2">
        <v>170.4</v>
      </c>
      <c r="X11" s="2">
        <v>157.1</v>
      </c>
      <c r="Y11" s="2">
        <v>160.69999999999999</v>
      </c>
      <c r="Z11" s="2">
        <v>167.2</v>
      </c>
      <c r="AA11" s="2">
        <v>160.4</v>
      </c>
      <c r="AB11" s="2">
        <v>162.80000000000001</v>
      </c>
      <c r="AC11" s="2">
        <v>163.19999999999999</v>
      </c>
    </row>
    <row r="12" spans="1:29" ht="15.5" x14ac:dyDescent="0.35">
      <c r="A12" s="37">
        <v>44409</v>
      </c>
      <c r="B12" s="36">
        <v>69.804724424999989</v>
      </c>
      <c r="C12" s="2">
        <v>144.9</v>
      </c>
      <c r="D12" s="2">
        <v>202.3</v>
      </c>
      <c r="E12" s="2">
        <v>176.5</v>
      </c>
      <c r="F12" s="2">
        <v>157.5</v>
      </c>
      <c r="G12" s="2">
        <v>190.9</v>
      </c>
      <c r="H12" s="2">
        <v>155.69999999999999</v>
      </c>
      <c r="I12" s="2">
        <v>153.9</v>
      </c>
      <c r="J12" s="2">
        <v>162.80000000000001</v>
      </c>
      <c r="K12" s="2">
        <v>115.2</v>
      </c>
      <c r="L12" s="2">
        <v>169.8</v>
      </c>
      <c r="M12" s="2">
        <v>167.6</v>
      </c>
      <c r="N12" s="2">
        <v>171.9</v>
      </c>
      <c r="O12" s="2">
        <v>161.80000000000001</v>
      </c>
      <c r="P12" s="2">
        <v>190.2</v>
      </c>
      <c r="Q12" s="2">
        <v>167</v>
      </c>
      <c r="R12" s="2">
        <v>162.6</v>
      </c>
      <c r="S12" s="2">
        <v>166.3</v>
      </c>
      <c r="T12" s="2" t="s">
        <v>32</v>
      </c>
      <c r="U12" s="2">
        <v>163.1</v>
      </c>
      <c r="V12" s="2">
        <v>160.9</v>
      </c>
      <c r="W12" s="2">
        <v>171.1</v>
      </c>
      <c r="X12" s="2">
        <v>157.69999999999999</v>
      </c>
      <c r="Y12" s="2">
        <v>161.1</v>
      </c>
      <c r="Z12" s="2">
        <v>167.5</v>
      </c>
      <c r="AA12" s="2">
        <v>160.30000000000001</v>
      </c>
      <c r="AB12" s="2">
        <v>163.30000000000001</v>
      </c>
      <c r="AC12" s="2">
        <v>163.6</v>
      </c>
    </row>
    <row r="13" spans="1:29" ht="15.5" x14ac:dyDescent="0.35">
      <c r="A13" s="37">
        <v>44440</v>
      </c>
      <c r="B13" s="36">
        <v>73.130738295454549</v>
      </c>
      <c r="C13" s="2">
        <v>145.4</v>
      </c>
      <c r="D13" s="2">
        <v>202.1</v>
      </c>
      <c r="E13" s="2">
        <v>172</v>
      </c>
      <c r="F13" s="2">
        <v>158</v>
      </c>
      <c r="G13" s="2">
        <v>195.5</v>
      </c>
      <c r="H13" s="2">
        <v>152.69999999999999</v>
      </c>
      <c r="I13" s="2">
        <v>151.4</v>
      </c>
      <c r="J13" s="2">
        <v>163.9</v>
      </c>
      <c r="K13" s="2">
        <v>119.3</v>
      </c>
      <c r="L13" s="2">
        <v>170.1</v>
      </c>
      <c r="M13" s="2">
        <v>168.3</v>
      </c>
      <c r="N13" s="2">
        <v>172.8</v>
      </c>
      <c r="O13" s="2">
        <v>162.1</v>
      </c>
      <c r="P13" s="2">
        <v>190.5</v>
      </c>
      <c r="Q13" s="2">
        <v>167.7</v>
      </c>
      <c r="R13" s="2">
        <v>163.6</v>
      </c>
      <c r="S13" s="2">
        <v>167.1</v>
      </c>
      <c r="T13" s="2" t="s">
        <v>32</v>
      </c>
      <c r="U13" s="2">
        <v>163.69999999999999</v>
      </c>
      <c r="V13" s="2">
        <v>161.30000000000001</v>
      </c>
      <c r="W13" s="2">
        <v>171.9</v>
      </c>
      <c r="X13" s="2">
        <v>157.80000000000001</v>
      </c>
      <c r="Y13" s="2">
        <v>162.69999999999999</v>
      </c>
      <c r="Z13" s="2">
        <v>168.5</v>
      </c>
      <c r="AA13" s="2">
        <v>160.19999999999999</v>
      </c>
      <c r="AB13" s="2">
        <v>163.80000000000001</v>
      </c>
      <c r="AC13" s="2">
        <v>164</v>
      </c>
    </row>
    <row r="14" spans="1:29" ht="15.5" x14ac:dyDescent="0.35">
      <c r="A14" s="37">
        <v>44470</v>
      </c>
      <c r="B14" s="36">
        <v>82.107393785714294</v>
      </c>
      <c r="C14" s="2">
        <v>146.1</v>
      </c>
      <c r="D14" s="2">
        <v>202.5</v>
      </c>
      <c r="E14" s="2">
        <v>170.1</v>
      </c>
      <c r="F14" s="2">
        <v>158.4</v>
      </c>
      <c r="G14" s="2">
        <v>198.8</v>
      </c>
      <c r="H14" s="2">
        <v>152.6</v>
      </c>
      <c r="I14" s="2">
        <v>170.4</v>
      </c>
      <c r="J14" s="2">
        <v>165.2</v>
      </c>
      <c r="K14" s="2">
        <v>121.6</v>
      </c>
      <c r="L14" s="2">
        <v>170.6</v>
      </c>
      <c r="M14" s="2">
        <v>168.8</v>
      </c>
      <c r="N14" s="2">
        <v>173.6</v>
      </c>
      <c r="O14" s="2">
        <v>165.5</v>
      </c>
      <c r="P14" s="2">
        <v>191.2</v>
      </c>
      <c r="Q14" s="2">
        <v>168.9</v>
      </c>
      <c r="R14" s="2">
        <v>164.8</v>
      </c>
      <c r="S14" s="2">
        <v>168.3</v>
      </c>
      <c r="T14" s="2" t="s">
        <v>32</v>
      </c>
      <c r="U14" s="2">
        <v>165.5</v>
      </c>
      <c r="V14" s="2">
        <v>162</v>
      </c>
      <c r="W14" s="2">
        <v>172.5</v>
      </c>
      <c r="X14" s="2">
        <v>159.5</v>
      </c>
      <c r="Y14" s="2">
        <v>163.19999999999999</v>
      </c>
      <c r="Z14" s="2">
        <v>169</v>
      </c>
      <c r="AA14" s="2">
        <v>161.1</v>
      </c>
      <c r="AB14" s="2">
        <v>164.7</v>
      </c>
      <c r="AC14" s="2">
        <v>166.3</v>
      </c>
    </row>
    <row r="15" spans="1:29" ht="15.5" x14ac:dyDescent="0.35">
      <c r="A15" s="37">
        <v>44501</v>
      </c>
      <c r="B15" s="36">
        <v>80.637301023809528</v>
      </c>
      <c r="C15" s="2">
        <v>146.9</v>
      </c>
      <c r="D15" s="2">
        <v>199.8</v>
      </c>
      <c r="E15" s="2">
        <v>171.5</v>
      </c>
      <c r="F15" s="2">
        <v>159.1</v>
      </c>
      <c r="G15" s="2">
        <v>198.4</v>
      </c>
      <c r="H15" s="2">
        <v>153.19999999999999</v>
      </c>
      <c r="I15" s="2">
        <v>183.9</v>
      </c>
      <c r="J15" s="2">
        <v>165.4</v>
      </c>
      <c r="K15" s="2">
        <v>122.1</v>
      </c>
      <c r="L15" s="2">
        <v>170.8</v>
      </c>
      <c r="M15" s="2">
        <v>169.1</v>
      </c>
      <c r="N15" s="2">
        <v>174.3</v>
      </c>
      <c r="O15" s="2">
        <v>167.5</v>
      </c>
      <c r="P15" s="2">
        <v>191.4</v>
      </c>
      <c r="Q15" s="2">
        <v>170.4</v>
      </c>
      <c r="R15" s="2">
        <v>166</v>
      </c>
      <c r="S15" s="2">
        <v>169.8</v>
      </c>
      <c r="T15" s="2" t="s">
        <v>32</v>
      </c>
      <c r="U15" s="2">
        <v>165.3</v>
      </c>
      <c r="V15" s="2">
        <v>162.9</v>
      </c>
      <c r="W15" s="2">
        <v>173.4</v>
      </c>
      <c r="X15" s="2">
        <v>158.9</v>
      </c>
      <c r="Y15" s="2">
        <v>163.80000000000001</v>
      </c>
      <c r="Z15" s="2">
        <v>169.3</v>
      </c>
      <c r="AA15" s="2">
        <v>162.4</v>
      </c>
      <c r="AB15" s="2">
        <v>165.2</v>
      </c>
      <c r="AC15" s="2">
        <v>167.6</v>
      </c>
    </row>
    <row r="16" spans="1:29" ht="15.5" x14ac:dyDescent="0.35">
      <c r="A16" s="37">
        <v>44531</v>
      </c>
      <c r="B16" s="36">
        <v>73.298823523809531</v>
      </c>
      <c r="C16" s="2">
        <v>147.4</v>
      </c>
      <c r="D16" s="2">
        <v>197</v>
      </c>
      <c r="E16" s="2">
        <v>176.5</v>
      </c>
      <c r="F16" s="2">
        <v>159.80000000000001</v>
      </c>
      <c r="G16" s="2">
        <v>195.8</v>
      </c>
      <c r="H16" s="2">
        <v>152</v>
      </c>
      <c r="I16" s="2">
        <v>172.3</v>
      </c>
      <c r="J16" s="2">
        <v>164.5</v>
      </c>
      <c r="K16" s="2">
        <v>120.6</v>
      </c>
      <c r="L16" s="2">
        <v>171.7</v>
      </c>
      <c r="M16" s="2">
        <v>169.7</v>
      </c>
      <c r="N16" s="2">
        <v>175.1</v>
      </c>
      <c r="O16" s="2">
        <v>165.8</v>
      </c>
      <c r="P16" s="2">
        <v>190.8</v>
      </c>
      <c r="Q16" s="2">
        <v>171.8</v>
      </c>
      <c r="R16" s="2">
        <v>167.3</v>
      </c>
      <c r="S16" s="2">
        <v>171.2</v>
      </c>
      <c r="T16" s="2" t="s">
        <v>32</v>
      </c>
      <c r="U16" s="2">
        <v>165.6</v>
      </c>
      <c r="V16" s="2">
        <v>163.9</v>
      </c>
      <c r="W16" s="2">
        <v>174</v>
      </c>
      <c r="X16" s="2">
        <v>160.1</v>
      </c>
      <c r="Y16" s="2">
        <v>164.5</v>
      </c>
      <c r="Z16" s="2">
        <v>169.7</v>
      </c>
      <c r="AA16" s="2">
        <v>162.80000000000001</v>
      </c>
      <c r="AB16" s="2">
        <v>166</v>
      </c>
      <c r="AC16" s="2">
        <v>167</v>
      </c>
    </row>
    <row r="17" spans="1:29" ht="15.5" x14ac:dyDescent="0.35">
      <c r="A17" s="37">
        <v>44562</v>
      </c>
      <c r="B17" s="36">
        <v>84.666318799999985</v>
      </c>
      <c r="C17" s="2">
        <v>148.30000000000001</v>
      </c>
      <c r="D17" s="2">
        <v>196.9</v>
      </c>
      <c r="E17" s="2">
        <v>178</v>
      </c>
      <c r="F17" s="2">
        <v>160.5</v>
      </c>
      <c r="G17" s="2">
        <v>192.6</v>
      </c>
      <c r="H17" s="2">
        <v>151.19999999999999</v>
      </c>
      <c r="I17" s="2">
        <v>159.19999999999999</v>
      </c>
      <c r="J17" s="2">
        <v>164</v>
      </c>
      <c r="K17" s="2">
        <v>119.3</v>
      </c>
      <c r="L17" s="2">
        <v>173.3</v>
      </c>
      <c r="M17" s="2">
        <v>169.8</v>
      </c>
      <c r="N17" s="2">
        <v>175.8</v>
      </c>
      <c r="O17" s="2">
        <v>164.1</v>
      </c>
      <c r="P17" s="2">
        <v>190.7</v>
      </c>
      <c r="Q17" s="2">
        <v>173.2</v>
      </c>
      <c r="R17" s="2">
        <v>169.3</v>
      </c>
      <c r="S17" s="2">
        <v>172.7</v>
      </c>
      <c r="T17" s="2" t="s">
        <v>32</v>
      </c>
      <c r="U17" s="2">
        <v>165.8</v>
      </c>
      <c r="V17" s="2">
        <v>164.9</v>
      </c>
      <c r="W17" s="2">
        <v>174.7</v>
      </c>
      <c r="X17" s="2">
        <v>160.80000000000001</v>
      </c>
      <c r="Y17" s="2">
        <v>164.9</v>
      </c>
      <c r="Z17" s="2">
        <v>169.9</v>
      </c>
      <c r="AA17" s="2">
        <v>163.19999999999999</v>
      </c>
      <c r="AB17" s="2">
        <v>166.6</v>
      </c>
      <c r="AC17" s="2">
        <v>166.4</v>
      </c>
    </row>
    <row r="18" spans="1:29" ht="15.5" x14ac:dyDescent="0.35">
      <c r="A18" s="37">
        <v>44593</v>
      </c>
      <c r="B18" s="36">
        <v>94.067715194444446</v>
      </c>
      <c r="C18" s="2">
        <v>148.80000000000001</v>
      </c>
      <c r="D18" s="2">
        <v>198.1</v>
      </c>
      <c r="E18" s="2">
        <v>175.5</v>
      </c>
      <c r="F18" s="2">
        <v>160.69999999999999</v>
      </c>
      <c r="G18" s="2">
        <v>192.6</v>
      </c>
      <c r="H18" s="2">
        <v>151.4</v>
      </c>
      <c r="I18" s="2">
        <v>155.19999999999999</v>
      </c>
      <c r="J18" s="2">
        <v>163.9</v>
      </c>
      <c r="K18" s="2">
        <v>118.1</v>
      </c>
      <c r="L18" s="2">
        <v>175.4</v>
      </c>
      <c r="M18" s="2">
        <v>170.5</v>
      </c>
      <c r="N18" s="2">
        <v>176.3</v>
      </c>
      <c r="O18" s="2">
        <v>163.9</v>
      </c>
      <c r="P18" s="2">
        <v>191.5</v>
      </c>
      <c r="Q18" s="2">
        <v>174.1</v>
      </c>
      <c r="R18" s="2">
        <v>171</v>
      </c>
      <c r="S18" s="2">
        <v>173.7</v>
      </c>
      <c r="T18" s="2" t="s">
        <v>32</v>
      </c>
      <c r="U18" s="2">
        <v>167.4</v>
      </c>
      <c r="V18" s="2">
        <v>165.7</v>
      </c>
      <c r="W18" s="2">
        <v>175.3</v>
      </c>
      <c r="X18" s="2">
        <v>161.19999999999999</v>
      </c>
      <c r="Y18" s="2">
        <v>165.5</v>
      </c>
      <c r="Z18" s="2">
        <v>170.3</v>
      </c>
      <c r="AA18" s="2">
        <v>164.5</v>
      </c>
      <c r="AB18" s="2">
        <v>167.3</v>
      </c>
      <c r="AC18" s="2">
        <v>166.7</v>
      </c>
    </row>
    <row r="19" spans="1:29" ht="15.5" x14ac:dyDescent="0.35">
      <c r="A19" s="37">
        <v>44621</v>
      </c>
      <c r="B19" s="36">
        <v>112.87479254347826</v>
      </c>
      <c r="C19" s="2">
        <v>150.19999999999999</v>
      </c>
      <c r="D19" s="2">
        <v>208</v>
      </c>
      <c r="E19" s="2">
        <v>167.9</v>
      </c>
      <c r="F19" s="2">
        <v>162</v>
      </c>
      <c r="G19" s="2">
        <v>203.1</v>
      </c>
      <c r="H19" s="2">
        <v>155.9</v>
      </c>
      <c r="I19" s="2">
        <v>155.80000000000001</v>
      </c>
      <c r="J19" s="2">
        <v>164.2</v>
      </c>
      <c r="K19" s="2">
        <v>118.1</v>
      </c>
      <c r="L19" s="2">
        <v>178.7</v>
      </c>
      <c r="M19" s="2">
        <v>171.2</v>
      </c>
      <c r="N19" s="2">
        <v>177.4</v>
      </c>
      <c r="O19" s="2">
        <v>166.6</v>
      </c>
      <c r="P19" s="2">
        <v>192.3</v>
      </c>
      <c r="Q19" s="2">
        <v>175.4</v>
      </c>
      <c r="R19" s="2">
        <v>173.2</v>
      </c>
      <c r="S19" s="2">
        <v>175.1</v>
      </c>
      <c r="T19" s="2" t="s">
        <v>32</v>
      </c>
      <c r="U19" s="2">
        <v>168.9</v>
      </c>
      <c r="V19" s="2">
        <v>166.5</v>
      </c>
      <c r="W19" s="2">
        <v>176</v>
      </c>
      <c r="X19" s="2">
        <v>162</v>
      </c>
      <c r="Y19" s="2">
        <v>166.6</v>
      </c>
      <c r="Z19" s="2">
        <v>170.6</v>
      </c>
      <c r="AA19" s="2">
        <v>167.4</v>
      </c>
      <c r="AB19" s="2">
        <v>168.3</v>
      </c>
      <c r="AC19" s="2">
        <v>168.7</v>
      </c>
    </row>
    <row r="20" spans="1:29" ht="15.5" x14ac:dyDescent="0.35">
      <c r="A20" s="37">
        <v>44652</v>
      </c>
      <c r="B20" s="36">
        <v>102.96599786842103</v>
      </c>
      <c r="C20" s="2">
        <v>151.80000000000001</v>
      </c>
      <c r="D20" s="2">
        <v>209.7</v>
      </c>
      <c r="E20" s="2">
        <v>164.5</v>
      </c>
      <c r="F20" s="2">
        <v>163.80000000000001</v>
      </c>
      <c r="G20" s="2">
        <v>207.4</v>
      </c>
      <c r="H20" s="2">
        <v>169.7</v>
      </c>
      <c r="I20" s="2">
        <v>153.6</v>
      </c>
      <c r="J20" s="2">
        <v>165.1</v>
      </c>
      <c r="K20" s="2">
        <v>118.2</v>
      </c>
      <c r="L20" s="2">
        <v>182.9</v>
      </c>
      <c r="M20" s="2">
        <v>172.4</v>
      </c>
      <c r="N20" s="2">
        <v>178.9</v>
      </c>
      <c r="O20" s="2">
        <v>168.6</v>
      </c>
      <c r="P20" s="2">
        <v>192.8</v>
      </c>
      <c r="Q20" s="2">
        <v>177.5</v>
      </c>
      <c r="R20" s="2">
        <v>175.1</v>
      </c>
      <c r="S20" s="2">
        <v>177.1</v>
      </c>
      <c r="T20" s="2" t="s">
        <v>32</v>
      </c>
      <c r="U20" s="2">
        <v>173.3</v>
      </c>
      <c r="V20" s="2">
        <v>167.7</v>
      </c>
      <c r="W20" s="2">
        <v>177</v>
      </c>
      <c r="X20" s="2">
        <v>166.2</v>
      </c>
      <c r="Y20" s="2">
        <v>167.2</v>
      </c>
      <c r="Z20" s="2">
        <v>170.9</v>
      </c>
      <c r="AA20" s="2">
        <v>169</v>
      </c>
      <c r="AB20" s="2">
        <v>170.2</v>
      </c>
      <c r="AC20" s="2">
        <v>170.8</v>
      </c>
    </row>
    <row r="21" spans="1:29" ht="15.5" x14ac:dyDescent="0.35">
      <c r="A21" s="37">
        <v>44682</v>
      </c>
      <c r="B21" s="36">
        <v>109.50503773684208</v>
      </c>
      <c r="C21" s="2">
        <v>152.9</v>
      </c>
      <c r="D21" s="2">
        <v>214.7</v>
      </c>
      <c r="E21" s="2">
        <v>161.4</v>
      </c>
      <c r="F21" s="2">
        <v>164.6</v>
      </c>
      <c r="G21" s="2">
        <v>209.9</v>
      </c>
      <c r="H21" s="2">
        <v>168</v>
      </c>
      <c r="I21" s="2">
        <v>160.4</v>
      </c>
      <c r="J21" s="2">
        <v>165</v>
      </c>
      <c r="K21" s="2">
        <v>118.9</v>
      </c>
      <c r="L21" s="2">
        <v>186.6</v>
      </c>
      <c r="M21" s="2">
        <v>173.2</v>
      </c>
      <c r="N21" s="2">
        <v>180.4</v>
      </c>
      <c r="O21" s="2">
        <v>170.8</v>
      </c>
      <c r="P21" s="2">
        <v>192.9</v>
      </c>
      <c r="Q21" s="2">
        <v>179.3</v>
      </c>
      <c r="R21" s="2">
        <v>177.2</v>
      </c>
      <c r="S21" s="2">
        <v>179</v>
      </c>
      <c r="T21" s="2" t="s">
        <v>32</v>
      </c>
      <c r="U21" s="2">
        <v>175.3</v>
      </c>
      <c r="V21" s="2">
        <v>168.9</v>
      </c>
      <c r="W21" s="2">
        <v>177.7</v>
      </c>
      <c r="X21" s="2">
        <v>167.1</v>
      </c>
      <c r="Y21" s="2">
        <v>167.6</v>
      </c>
      <c r="Z21" s="2">
        <v>171.8</v>
      </c>
      <c r="AA21" s="2">
        <v>168.5</v>
      </c>
      <c r="AB21" s="2">
        <v>170.9</v>
      </c>
      <c r="AC21" s="2">
        <v>172.5</v>
      </c>
    </row>
    <row r="22" spans="1:29" ht="15.5" x14ac:dyDescent="0.35">
      <c r="A22" s="37">
        <v>44713</v>
      </c>
      <c r="B22" s="36">
        <v>116.01138504999999</v>
      </c>
      <c r="C22" s="2">
        <v>153.80000000000001</v>
      </c>
      <c r="D22" s="2">
        <v>217.2</v>
      </c>
      <c r="E22" s="2">
        <v>169.6</v>
      </c>
      <c r="F22" s="2">
        <v>165.4</v>
      </c>
      <c r="G22" s="2">
        <v>208.1</v>
      </c>
      <c r="H22" s="2">
        <v>165.8</v>
      </c>
      <c r="I22" s="2">
        <v>167.3</v>
      </c>
      <c r="J22" s="2">
        <v>164.6</v>
      </c>
      <c r="K22" s="2">
        <v>119.1</v>
      </c>
      <c r="L22" s="2">
        <v>188.9</v>
      </c>
      <c r="M22" s="2">
        <v>174.2</v>
      </c>
      <c r="N22" s="2">
        <v>181.9</v>
      </c>
      <c r="O22" s="2">
        <v>172.4</v>
      </c>
      <c r="P22" s="2">
        <v>192.9</v>
      </c>
      <c r="Q22" s="2">
        <v>180.7</v>
      </c>
      <c r="R22" s="2">
        <v>178.7</v>
      </c>
      <c r="S22" s="2">
        <v>180.4</v>
      </c>
      <c r="T22" s="2" t="s">
        <v>32</v>
      </c>
      <c r="U22" s="2">
        <v>176.7</v>
      </c>
      <c r="V22" s="2">
        <v>170.3</v>
      </c>
      <c r="W22" s="2">
        <v>178.2</v>
      </c>
      <c r="X22" s="2">
        <v>165.5</v>
      </c>
      <c r="Y22" s="2">
        <v>168</v>
      </c>
      <c r="Z22" s="2">
        <v>172.6</v>
      </c>
      <c r="AA22" s="2">
        <v>169.5</v>
      </c>
      <c r="AB22" s="2">
        <v>171</v>
      </c>
      <c r="AC22" s="2">
        <v>173.6</v>
      </c>
    </row>
    <row r="23" spans="1:29" ht="15.5" x14ac:dyDescent="0.35">
      <c r="A23" s="37">
        <v>44743</v>
      </c>
      <c r="B23" s="36">
        <v>105.49124737500001</v>
      </c>
      <c r="C23" s="2">
        <v>155.19999999999999</v>
      </c>
      <c r="D23" s="2">
        <v>210.8</v>
      </c>
      <c r="E23" s="2">
        <v>174.3</v>
      </c>
      <c r="F23" s="2">
        <v>166.3</v>
      </c>
      <c r="G23" s="2">
        <v>202.2</v>
      </c>
      <c r="H23" s="2">
        <v>169.6</v>
      </c>
      <c r="I23" s="2">
        <v>168.6</v>
      </c>
      <c r="J23" s="2">
        <v>164.4</v>
      </c>
      <c r="K23" s="2">
        <v>119.2</v>
      </c>
      <c r="L23" s="2">
        <v>191.8</v>
      </c>
      <c r="M23" s="2">
        <v>174.5</v>
      </c>
      <c r="N23" s="2">
        <v>183.1</v>
      </c>
      <c r="O23" s="2">
        <v>172.5</v>
      </c>
      <c r="P23" s="2">
        <v>193.2</v>
      </c>
      <c r="Q23" s="2">
        <v>182</v>
      </c>
      <c r="R23" s="2">
        <v>180.3</v>
      </c>
      <c r="S23" s="2">
        <v>181.7</v>
      </c>
      <c r="T23" s="2" t="s">
        <v>32</v>
      </c>
      <c r="U23" s="2">
        <v>179.6</v>
      </c>
      <c r="V23" s="2">
        <v>171.3</v>
      </c>
      <c r="W23" s="2">
        <v>178.8</v>
      </c>
      <c r="X23" s="2">
        <v>166.3</v>
      </c>
      <c r="Y23" s="2">
        <v>168.6</v>
      </c>
      <c r="Z23" s="2">
        <v>174.7</v>
      </c>
      <c r="AA23" s="2">
        <v>169.7</v>
      </c>
      <c r="AB23" s="2">
        <v>171.8</v>
      </c>
      <c r="AC23" s="2">
        <v>174.3</v>
      </c>
    </row>
    <row r="24" spans="1:29" ht="15.5" x14ac:dyDescent="0.35">
      <c r="A24" s="37">
        <v>44774</v>
      </c>
      <c r="B24" s="36">
        <v>97.404465428571427</v>
      </c>
      <c r="C24" s="2">
        <v>159.5</v>
      </c>
      <c r="D24" s="2">
        <v>204.1</v>
      </c>
      <c r="E24" s="2">
        <v>168.3</v>
      </c>
      <c r="F24" s="2">
        <v>167.9</v>
      </c>
      <c r="G24" s="2">
        <v>198.1</v>
      </c>
      <c r="H24" s="2">
        <v>169.2</v>
      </c>
      <c r="I24" s="2">
        <v>173.1</v>
      </c>
      <c r="J24" s="2">
        <v>167.1</v>
      </c>
      <c r="K24" s="2">
        <v>120.2</v>
      </c>
      <c r="L24" s="2">
        <v>195.6</v>
      </c>
      <c r="M24" s="2">
        <v>174.8</v>
      </c>
      <c r="N24" s="2">
        <v>184</v>
      </c>
      <c r="O24" s="2">
        <v>173.9</v>
      </c>
      <c r="P24" s="2">
        <v>193.7</v>
      </c>
      <c r="Q24" s="2">
        <v>183.2</v>
      </c>
      <c r="R24" s="2">
        <v>181.7</v>
      </c>
      <c r="S24" s="2">
        <v>183</v>
      </c>
      <c r="T24" s="2" t="s">
        <v>32</v>
      </c>
      <c r="U24" s="2">
        <v>179.1</v>
      </c>
      <c r="V24" s="2">
        <v>172.3</v>
      </c>
      <c r="W24" s="2">
        <v>179.4</v>
      </c>
      <c r="X24" s="2">
        <v>166.6</v>
      </c>
      <c r="Y24" s="2">
        <v>169.3</v>
      </c>
      <c r="Z24" s="2">
        <v>175.7</v>
      </c>
      <c r="AA24" s="2">
        <v>171.1</v>
      </c>
      <c r="AB24" s="2">
        <v>172.6</v>
      </c>
      <c r="AC24" s="2">
        <v>175.3</v>
      </c>
    </row>
    <row r="25" spans="1:29" ht="15.5" x14ac:dyDescent="0.35">
      <c r="A25" s="37">
        <v>44805</v>
      </c>
      <c r="B25" s="36">
        <v>90.706344809523813</v>
      </c>
      <c r="C25" s="2">
        <v>162.9</v>
      </c>
      <c r="D25" s="2">
        <v>206.7</v>
      </c>
      <c r="E25" s="2">
        <v>169</v>
      </c>
      <c r="F25" s="2">
        <v>169.5</v>
      </c>
      <c r="G25" s="2">
        <v>194.1</v>
      </c>
      <c r="H25" s="2">
        <v>164.1</v>
      </c>
      <c r="I25" s="2">
        <v>176.9</v>
      </c>
      <c r="J25" s="2">
        <v>169</v>
      </c>
      <c r="K25" s="2">
        <v>120.8</v>
      </c>
      <c r="L25" s="2">
        <v>199.1</v>
      </c>
      <c r="M25" s="2">
        <v>175.4</v>
      </c>
      <c r="N25" s="2">
        <v>184.8</v>
      </c>
      <c r="O25" s="2">
        <v>175.5</v>
      </c>
      <c r="P25" s="2">
        <v>194.5</v>
      </c>
      <c r="Q25" s="2">
        <v>184.7</v>
      </c>
      <c r="R25" s="2">
        <v>183.3</v>
      </c>
      <c r="S25" s="2">
        <v>184.5</v>
      </c>
      <c r="T25" s="2" t="s">
        <v>32</v>
      </c>
      <c r="U25" s="2">
        <v>179.7</v>
      </c>
      <c r="V25" s="2">
        <v>173.6</v>
      </c>
      <c r="W25" s="2">
        <v>180.2</v>
      </c>
      <c r="X25" s="2">
        <v>166.9</v>
      </c>
      <c r="Y25" s="2">
        <v>170</v>
      </c>
      <c r="Z25" s="2">
        <v>176.2</v>
      </c>
      <c r="AA25" s="2">
        <v>170.8</v>
      </c>
      <c r="AB25" s="2">
        <v>173.1</v>
      </c>
      <c r="AC25" s="2">
        <v>176.4</v>
      </c>
    </row>
    <row r="26" spans="1:29" ht="15.5" x14ac:dyDescent="0.35">
      <c r="A26" s="37">
        <v>44835</v>
      </c>
      <c r="B26" s="36">
        <v>91.698948700000003</v>
      </c>
      <c r="C26" s="2">
        <v>164.7</v>
      </c>
      <c r="D26" s="2">
        <v>208.8</v>
      </c>
      <c r="E26" s="2">
        <v>170.3</v>
      </c>
      <c r="F26" s="2">
        <v>170.9</v>
      </c>
      <c r="G26" s="2">
        <v>191.6</v>
      </c>
      <c r="H26" s="2">
        <v>162.19999999999999</v>
      </c>
      <c r="I26" s="2">
        <v>184.8</v>
      </c>
      <c r="J26" s="2">
        <v>169.7</v>
      </c>
      <c r="K26" s="2">
        <v>121.1</v>
      </c>
      <c r="L26" s="2">
        <v>201.6</v>
      </c>
      <c r="M26" s="2">
        <v>175.8</v>
      </c>
      <c r="N26" s="2">
        <v>185.6</v>
      </c>
      <c r="O26" s="2">
        <v>177.4</v>
      </c>
      <c r="P26" s="2">
        <v>194.9</v>
      </c>
      <c r="Q26" s="2">
        <v>186.1</v>
      </c>
      <c r="R26" s="2">
        <v>184.4</v>
      </c>
      <c r="S26" s="2">
        <v>185.9</v>
      </c>
      <c r="T26" s="2" t="s">
        <v>32</v>
      </c>
      <c r="U26" s="2">
        <v>180.8</v>
      </c>
      <c r="V26" s="2">
        <v>174.4</v>
      </c>
      <c r="W26" s="2">
        <v>181.2</v>
      </c>
      <c r="X26" s="2">
        <v>167.4</v>
      </c>
      <c r="Y26" s="2">
        <v>170.6</v>
      </c>
      <c r="Z26" s="2">
        <v>176.5</v>
      </c>
      <c r="AA26" s="2">
        <v>172</v>
      </c>
      <c r="AB26" s="2">
        <v>173.9</v>
      </c>
      <c r="AC26" s="2">
        <v>177.9</v>
      </c>
    </row>
    <row r="27" spans="1:29" ht="15.5" x14ac:dyDescent="0.35">
      <c r="A27" s="37">
        <v>44866</v>
      </c>
      <c r="B27" s="36">
        <v>87.552266068181822</v>
      </c>
      <c r="C27" s="2">
        <v>166.9</v>
      </c>
      <c r="D27" s="2">
        <v>207.2</v>
      </c>
      <c r="E27" s="2">
        <v>180.2</v>
      </c>
      <c r="F27" s="2">
        <v>172.3</v>
      </c>
      <c r="G27" s="2">
        <v>194</v>
      </c>
      <c r="H27" s="2">
        <v>159.1</v>
      </c>
      <c r="I27" s="2">
        <v>171.6</v>
      </c>
      <c r="J27" s="2">
        <v>170.2</v>
      </c>
      <c r="K27" s="2">
        <v>121.5</v>
      </c>
      <c r="L27" s="2">
        <v>204.8</v>
      </c>
      <c r="M27" s="2">
        <v>176.4</v>
      </c>
      <c r="N27" s="2">
        <v>186.9</v>
      </c>
      <c r="O27" s="2">
        <v>176.6</v>
      </c>
      <c r="P27" s="2">
        <v>195.5</v>
      </c>
      <c r="Q27" s="2">
        <v>187.2</v>
      </c>
      <c r="R27" s="2">
        <v>185.2</v>
      </c>
      <c r="S27" s="2">
        <v>186.9</v>
      </c>
      <c r="T27" s="2" t="s">
        <v>32</v>
      </c>
      <c r="U27" s="2">
        <v>181.9</v>
      </c>
      <c r="V27" s="2">
        <v>175.5</v>
      </c>
      <c r="W27" s="2">
        <v>182.3</v>
      </c>
      <c r="X27" s="2">
        <v>167.5</v>
      </c>
      <c r="Y27" s="2">
        <v>170.8</v>
      </c>
      <c r="Z27" s="2">
        <v>176.9</v>
      </c>
      <c r="AA27" s="2">
        <v>173.4</v>
      </c>
      <c r="AB27" s="2">
        <v>174.6</v>
      </c>
      <c r="AC27" s="2">
        <v>177.8</v>
      </c>
    </row>
    <row r="28" spans="1:29" ht="15.5" x14ac:dyDescent="0.35">
      <c r="A28" s="37">
        <v>44896</v>
      </c>
      <c r="B28" s="36">
        <v>78.100942275000008</v>
      </c>
      <c r="C28" s="2">
        <v>168.8</v>
      </c>
      <c r="D28" s="2">
        <v>206.9</v>
      </c>
      <c r="E28" s="2">
        <v>189.1</v>
      </c>
      <c r="F28" s="2">
        <v>173.4</v>
      </c>
      <c r="G28" s="2">
        <v>193.9</v>
      </c>
      <c r="H28" s="2">
        <v>156.69999999999999</v>
      </c>
      <c r="I28" s="2">
        <v>150.19999999999999</v>
      </c>
      <c r="J28" s="2">
        <v>170.5</v>
      </c>
      <c r="K28" s="2">
        <v>121.2</v>
      </c>
      <c r="L28" s="2">
        <v>207.5</v>
      </c>
      <c r="M28" s="2">
        <v>176.8</v>
      </c>
      <c r="N28" s="2">
        <v>187.7</v>
      </c>
      <c r="O28" s="2">
        <v>174.4</v>
      </c>
      <c r="P28" s="2">
        <v>195.9</v>
      </c>
      <c r="Q28" s="2">
        <v>188.1</v>
      </c>
      <c r="R28" s="2">
        <v>185.9</v>
      </c>
      <c r="S28" s="2">
        <v>187.8</v>
      </c>
      <c r="T28" s="2" t="s">
        <v>32</v>
      </c>
      <c r="U28" s="2">
        <v>182.8</v>
      </c>
      <c r="V28" s="2">
        <v>176.4</v>
      </c>
      <c r="W28" s="2">
        <v>183.5</v>
      </c>
      <c r="X28" s="2">
        <v>167.8</v>
      </c>
      <c r="Y28" s="2">
        <v>171.2</v>
      </c>
      <c r="Z28" s="2">
        <v>177.3</v>
      </c>
      <c r="AA28" s="2">
        <v>175.7</v>
      </c>
      <c r="AB28" s="2">
        <v>175.5</v>
      </c>
      <c r="AC28" s="2">
        <v>177.1</v>
      </c>
    </row>
    <row r="31" spans="1:29" x14ac:dyDescent="0.35">
      <c r="A31" s="73" t="s">
        <v>266</v>
      </c>
      <c r="B31" s="39"/>
      <c r="C31" s="73" t="s">
        <v>265</v>
      </c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</row>
    <row r="32" spans="1:29" x14ac:dyDescent="0.35">
      <c r="A32" s="39"/>
      <c r="B32" s="39"/>
      <c r="C32" s="74">
        <f>CORREL($B$34:$B$57,C34:C57)</f>
        <v>0.5178755737890588</v>
      </c>
      <c r="D32" s="75">
        <f t="shared" ref="D32:AC32" si="1">CORREL($B$34:$B$57,D34:D57)</f>
        <v>0.85586992381541083</v>
      </c>
      <c r="E32" s="76">
        <f t="shared" si="1"/>
        <v>-0.24788711146731129</v>
      </c>
      <c r="F32" s="74">
        <f t="shared" si="1"/>
        <v>0.63625804022224308</v>
      </c>
      <c r="G32" s="75">
        <f t="shared" si="1"/>
        <v>0.83897303864459927</v>
      </c>
      <c r="H32" s="74">
        <f t="shared" si="1"/>
        <v>0.5063193551106222</v>
      </c>
      <c r="I32" s="74">
        <f t="shared" si="1"/>
        <v>0.44664634929046448</v>
      </c>
      <c r="J32" s="84">
        <f t="shared" si="1"/>
        <v>0.18641082304095971</v>
      </c>
      <c r="K32" s="74">
        <f t="shared" si="1"/>
        <v>0.6093163684496512</v>
      </c>
      <c r="L32" s="74">
        <f t="shared" si="1"/>
        <v>0.5825400691775251</v>
      </c>
      <c r="M32" s="74">
        <f t="shared" si="1"/>
        <v>0.71845938788044106</v>
      </c>
      <c r="N32" s="74">
        <f t="shared" si="1"/>
        <v>0.71320949781064213</v>
      </c>
      <c r="O32" s="74">
        <f t="shared" si="1"/>
        <v>0.7382281956874438</v>
      </c>
      <c r="P32" s="74">
        <f t="shared" si="1"/>
        <v>0.58714496212221723</v>
      </c>
      <c r="Q32" s="74">
        <f t="shared" si="1"/>
        <v>0.7374105270872896</v>
      </c>
      <c r="R32" s="74">
        <f t="shared" si="1"/>
        <v>0.7330263215885493</v>
      </c>
      <c r="S32" s="74">
        <f t="shared" si="1"/>
        <v>0.73626586288675255</v>
      </c>
      <c r="T32" s="74" t="e">
        <f t="shared" si="1"/>
        <v>#DIV/0!</v>
      </c>
      <c r="U32" s="74">
        <f t="shared" si="1"/>
        <v>0.73019600969620957</v>
      </c>
      <c r="V32" s="74">
        <f t="shared" si="1"/>
        <v>0.73954974442444255</v>
      </c>
      <c r="W32" s="74">
        <f t="shared" si="1"/>
        <v>0.73234669702372779</v>
      </c>
      <c r="X32" s="75">
        <f t="shared" si="1"/>
        <v>0.81562092086659066</v>
      </c>
      <c r="Y32" s="75">
        <f t="shared" si="1"/>
        <v>0.79402389502487636</v>
      </c>
      <c r="Z32" s="74">
        <f t="shared" si="1"/>
        <v>0.64128243784824446</v>
      </c>
      <c r="AA32" s="74">
        <f t="shared" si="1"/>
        <v>0.71308767170202558</v>
      </c>
      <c r="AB32" s="74">
        <f t="shared" si="1"/>
        <v>0.76779658520961469</v>
      </c>
      <c r="AC32" s="74">
        <f t="shared" si="1"/>
        <v>0.7539555441681991</v>
      </c>
    </row>
    <row r="33" spans="1:29" ht="15" x14ac:dyDescent="0.35">
      <c r="A33" s="1" t="s">
        <v>263</v>
      </c>
      <c r="B33" s="1" t="s">
        <v>262</v>
      </c>
      <c r="C33" s="1" t="s">
        <v>3</v>
      </c>
      <c r="D33" s="1" t="s">
        <v>4</v>
      </c>
      <c r="E33" s="1" t="s">
        <v>5</v>
      </c>
      <c r="F33" s="1" t="s">
        <v>6</v>
      </c>
      <c r="G33" s="1" t="s">
        <v>7</v>
      </c>
      <c r="H33" s="1" t="s">
        <v>8</v>
      </c>
      <c r="I33" s="1" t="s">
        <v>9</v>
      </c>
      <c r="J33" s="1" t="s">
        <v>10</v>
      </c>
      <c r="K33" s="1" t="s">
        <v>11</v>
      </c>
      <c r="L33" s="1" t="s">
        <v>12</v>
      </c>
      <c r="M33" s="1" t="s">
        <v>13</v>
      </c>
      <c r="N33" s="1" t="s">
        <v>14</v>
      </c>
      <c r="O33" s="1" t="s">
        <v>15</v>
      </c>
      <c r="P33" s="1" t="s">
        <v>16</v>
      </c>
      <c r="Q33" s="1" t="s">
        <v>17</v>
      </c>
      <c r="R33" s="1" t="s">
        <v>18</v>
      </c>
      <c r="S33" s="1" t="s">
        <v>19</v>
      </c>
      <c r="T33" s="1" t="s">
        <v>20</v>
      </c>
      <c r="U33" s="1" t="s">
        <v>21</v>
      </c>
      <c r="V33" s="1" t="s">
        <v>22</v>
      </c>
      <c r="W33" s="1" t="s">
        <v>23</v>
      </c>
      <c r="X33" s="1" t="s">
        <v>24</v>
      </c>
      <c r="Y33" s="1" t="s">
        <v>25</v>
      </c>
      <c r="Z33" s="1" t="s">
        <v>26</v>
      </c>
      <c r="AA33" s="1" t="s">
        <v>27</v>
      </c>
      <c r="AB33" s="1" t="s">
        <v>28</v>
      </c>
      <c r="AC33" s="1" t="s">
        <v>29</v>
      </c>
    </row>
    <row r="34" spans="1:29" ht="15.5" x14ac:dyDescent="0.35">
      <c r="A34" s="37">
        <v>44197</v>
      </c>
      <c r="B34" s="36">
        <v>54.794569624999994</v>
      </c>
      <c r="C34" s="2">
        <v>148</v>
      </c>
      <c r="D34" s="2">
        <v>194.8</v>
      </c>
      <c r="E34" s="2">
        <v>178.4</v>
      </c>
      <c r="F34" s="2">
        <v>154.4</v>
      </c>
      <c r="G34" s="2">
        <v>144.1</v>
      </c>
      <c r="H34" s="2">
        <v>152.6</v>
      </c>
      <c r="I34" s="2">
        <v>206.8</v>
      </c>
      <c r="J34" s="2">
        <v>162.1</v>
      </c>
      <c r="K34" s="2">
        <v>116.3</v>
      </c>
      <c r="L34" s="2">
        <v>163</v>
      </c>
      <c r="M34" s="2">
        <v>145.9</v>
      </c>
      <c r="N34" s="2">
        <v>167.2</v>
      </c>
      <c r="O34" s="2">
        <v>163.4</v>
      </c>
      <c r="P34" s="2">
        <v>191.8</v>
      </c>
      <c r="Q34" s="2">
        <v>152.5</v>
      </c>
      <c r="R34" s="2">
        <v>137.30000000000001</v>
      </c>
      <c r="S34" s="2">
        <v>150.19999999999999</v>
      </c>
      <c r="T34" s="2" t="s">
        <v>137</v>
      </c>
      <c r="U34" s="2">
        <v>142.9</v>
      </c>
      <c r="V34" s="2">
        <v>145.69999999999999</v>
      </c>
      <c r="W34" s="2">
        <v>154.1</v>
      </c>
      <c r="X34" s="2">
        <v>136.9</v>
      </c>
      <c r="Y34" s="2">
        <v>145.4</v>
      </c>
      <c r="Z34" s="2">
        <v>156.1</v>
      </c>
      <c r="AA34" s="2">
        <v>157.69999999999999</v>
      </c>
      <c r="AB34" s="2">
        <v>147.6</v>
      </c>
      <c r="AC34" s="2">
        <v>156</v>
      </c>
    </row>
    <row r="35" spans="1:29" ht="15.5" x14ac:dyDescent="0.35">
      <c r="A35" s="37">
        <v>44228</v>
      </c>
      <c r="B35" s="36">
        <v>61.216117289473672</v>
      </c>
      <c r="C35" s="2">
        <v>147.6</v>
      </c>
      <c r="D35" s="2">
        <v>191.2</v>
      </c>
      <c r="E35" s="2">
        <v>169.9</v>
      </c>
      <c r="F35" s="2">
        <v>155.1</v>
      </c>
      <c r="G35" s="2">
        <v>151.4</v>
      </c>
      <c r="H35" s="2">
        <v>154</v>
      </c>
      <c r="I35" s="2">
        <v>180.2</v>
      </c>
      <c r="J35" s="2">
        <v>159.80000000000001</v>
      </c>
      <c r="K35" s="2">
        <v>114.9</v>
      </c>
      <c r="L35" s="2">
        <v>162.5</v>
      </c>
      <c r="M35" s="2">
        <v>149.19999999999999</v>
      </c>
      <c r="N35" s="2">
        <v>169.4</v>
      </c>
      <c r="O35" s="2">
        <v>160.80000000000001</v>
      </c>
      <c r="P35" s="2">
        <v>193.3</v>
      </c>
      <c r="Q35" s="2">
        <v>154.19999999999999</v>
      </c>
      <c r="R35" s="2">
        <v>138.19999999999999</v>
      </c>
      <c r="S35" s="2">
        <v>151.80000000000001</v>
      </c>
      <c r="T35" s="2" t="s">
        <v>138</v>
      </c>
      <c r="U35" s="2">
        <v>149.1</v>
      </c>
      <c r="V35" s="2">
        <v>146.5</v>
      </c>
      <c r="W35" s="2">
        <v>156.30000000000001</v>
      </c>
      <c r="X35" s="2">
        <v>140.5</v>
      </c>
      <c r="Y35" s="2">
        <v>147.30000000000001</v>
      </c>
      <c r="Z35" s="2">
        <v>156.6</v>
      </c>
      <c r="AA35" s="2">
        <v>156.69999999999999</v>
      </c>
      <c r="AB35" s="2">
        <v>149.30000000000001</v>
      </c>
      <c r="AC35" s="2">
        <v>156.5</v>
      </c>
    </row>
    <row r="36" spans="1:29" ht="15.5" x14ac:dyDescent="0.35">
      <c r="A36" s="37">
        <v>44256</v>
      </c>
      <c r="B36" s="36">
        <v>64.729496782608663</v>
      </c>
      <c r="C36" s="2">
        <v>147.5</v>
      </c>
      <c r="D36" s="2">
        <v>197.5</v>
      </c>
      <c r="E36" s="2">
        <v>164.7</v>
      </c>
      <c r="F36" s="2">
        <v>155.6</v>
      </c>
      <c r="G36" s="2">
        <v>156.4</v>
      </c>
      <c r="H36" s="2">
        <v>157.30000000000001</v>
      </c>
      <c r="I36" s="2">
        <v>166.1</v>
      </c>
      <c r="J36" s="2">
        <v>161.1</v>
      </c>
      <c r="K36" s="2">
        <v>114.3</v>
      </c>
      <c r="L36" s="2">
        <v>162.6</v>
      </c>
      <c r="M36" s="2">
        <v>150.69999999999999</v>
      </c>
      <c r="N36" s="2">
        <v>170.3</v>
      </c>
      <c r="O36" s="2">
        <v>160.4</v>
      </c>
      <c r="P36" s="2">
        <v>193.5</v>
      </c>
      <c r="Q36" s="2">
        <v>155.1</v>
      </c>
      <c r="R36" s="2">
        <v>138.69999999999999</v>
      </c>
      <c r="S36" s="2">
        <v>152.6</v>
      </c>
      <c r="T36" s="2" t="s">
        <v>140</v>
      </c>
      <c r="U36" s="2">
        <v>154.80000000000001</v>
      </c>
      <c r="V36" s="2">
        <v>147.19999999999999</v>
      </c>
      <c r="W36" s="2">
        <v>156.9</v>
      </c>
      <c r="X36" s="2">
        <v>141.69999999999999</v>
      </c>
      <c r="Y36" s="2">
        <v>148.6</v>
      </c>
      <c r="Z36" s="2">
        <v>157.6</v>
      </c>
      <c r="AA36" s="2">
        <v>154.9</v>
      </c>
      <c r="AB36" s="2">
        <v>150</v>
      </c>
      <c r="AC36" s="2">
        <v>156.9</v>
      </c>
    </row>
    <row r="37" spans="1:29" ht="15.5" x14ac:dyDescent="0.35">
      <c r="A37" s="37">
        <v>44287</v>
      </c>
      <c r="B37" s="36">
        <v>63.396976500000008</v>
      </c>
      <c r="C37" s="2">
        <v>147.6</v>
      </c>
      <c r="D37" s="2">
        <v>202.5</v>
      </c>
      <c r="E37" s="2">
        <v>166.4</v>
      </c>
      <c r="F37" s="2">
        <v>156</v>
      </c>
      <c r="G37" s="2">
        <v>161.4</v>
      </c>
      <c r="H37" s="2">
        <v>168.8</v>
      </c>
      <c r="I37" s="2">
        <v>161.6</v>
      </c>
      <c r="J37" s="2">
        <v>162.80000000000001</v>
      </c>
      <c r="K37" s="2">
        <v>114.8</v>
      </c>
      <c r="L37" s="2">
        <v>162.80000000000001</v>
      </c>
      <c r="M37" s="2">
        <v>151.5</v>
      </c>
      <c r="N37" s="2">
        <v>171.4</v>
      </c>
      <c r="O37" s="2">
        <v>162</v>
      </c>
      <c r="P37" s="2">
        <v>194.4</v>
      </c>
      <c r="Q37" s="2">
        <v>155.9</v>
      </c>
      <c r="R37" s="2">
        <v>139.30000000000001</v>
      </c>
      <c r="S37" s="2">
        <v>153.4</v>
      </c>
      <c r="T37" s="2" t="s">
        <v>141</v>
      </c>
      <c r="U37" s="2">
        <v>154.9</v>
      </c>
      <c r="V37" s="2">
        <v>147.6</v>
      </c>
      <c r="W37" s="2">
        <v>157.5</v>
      </c>
      <c r="X37" s="2">
        <v>142.1</v>
      </c>
      <c r="Y37" s="2">
        <v>149.1</v>
      </c>
      <c r="Z37" s="2">
        <v>157.6</v>
      </c>
      <c r="AA37" s="2">
        <v>156.6</v>
      </c>
      <c r="AB37" s="2">
        <v>150.5</v>
      </c>
      <c r="AC37" s="2">
        <v>158</v>
      </c>
    </row>
    <row r="38" spans="1:29" ht="15.5" x14ac:dyDescent="0.35">
      <c r="A38" s="37">
        <v>44317</v>
      </c>
      <c r="B38" s="36">
        <v>66.953084852941174</v>
      </c>
      <c r="C38" s="2">
        <v>148.80000000000001</v>
      </c>
      <c r="D38" s="2">
        <v>204.3</v>
      </c>
      <c r="E38" s="2">
        <v>173</v>
      </c>
      <c r="F38" s="2">
        <v>156.5</v>
      </c>
      <c r="G38" s="2">
        <v>168.8</v>
      </c>
      <c r="H38" s="2">
        <v>172.5</v>
      </c>
      <c r="I38" s="2">
        <v>166.5</v>
      </c>
      <c r="J38" s="2">
        <v>165.9</v>
      </c>
      <c r="K38" s="2">
        <v>115.9</v>
      </c>
      <c r="L38" s="2">
        <v>165.2</v>
      </c>
      <c r="M38" s="2">
        <v>152</v>
      </c>
      <c r="N38" s="2">
        <v>171.1</v>
      </c>
      <c r="O38" s="2">
        <v>164.2</v>
      </c>
      <c r="P38" s="2">
        <v>198.2</v>
      </c>
      <c r="Q38" s="2">
        <v>156.5</v>
      </c>
      <c r="R38" s="2">
        <v>140.19999999999999</v>
      </c>
      <c r="S38" s="2">
        <v>154.1</v>
      </c>
      <c r="T38" s="2" t="s">
        <v>142</v>
      </c>
      <c r="U38" s="2">
        <v>155.5</v>
      </c>
      <c r="V38" s="2">
        <v>150.1</v>
      </c>
      <c r="W38" s="2">
        <v>160.4</v>
      </c>
      <c r="X38" s="2">
        <v>145</v>
      </c>
      <c r="Y38" s="2">
        <v>152.6</v>
      </c>
      <c r="Z38" s="2">
        <v>156.6</v>
      </c>
      <c r="AA38" s="2">
        <v>157.5</v>
      </c>
      <c r="AB38" s="2">
        <v>152.30000000000001</v>
      </c>
      <c r="AC38" s="2">
        <v>159.5</v>
      </c>
    </row>
    <row r="39" spans="1:29" ht="15.5" x14ac:dyDescent="0.35">
      <c r="A39" s="37">
        <v>44348</v>
      </c>
      <c r="B39" s="36">
        <v>71.982647477272721</v>
      </c>
      <c r="C39" s="2">
        <v>149.19999999999999</v>
      </c>
      <c r="D39" s="2">
        <v>205.5</v>
      </c>
      <c r="E39" s="2">
        <v>182.8</v>
      </c>
      <c r="F39" s="2">
        <v>156.5</v>
      </c>
      <c r="G39" s="2">
        <v>172.2</v>
      </c>
      <c r="H39" s="2">
        <v>171.5</v>
      </c>
      <c r="I39" s="2">
        <v>176.2</v>
      </c>
      <c r="J39" s="2">
        <v>166.9</v>
      </c>
      <c r="K39" s="2">
        <v>116.1</v>
      </c>
      <c r="L39" s="2">
        <v>165.5</v>
      </c>
      <c r="M39" s="2">
        <v>152.30000000000001</v>
      </c>
      <c r="N39" s="2">
        <v>173.3</v>
      </c>
      <c r="O39" s="2">
        <v>166.2</v>
      </c>
      <c r="P39" s="2">
        <v>195.6</v>
      </c>
      <c r="Q39" s="2">
        <v>157.30000000000001</v>
      </c>
      <c r="R39" s="2">
        <v>140.5</v>
      </c>
      <c r="S39" s="2">
        <v>154.80000000000001</v>
      </c>
      <c r="T39" s="2" t="s">
        <v>143</v>
      </c>
      <c r="U39" s="2">
        <v>156.1</v>
      </c>
      <c r="V39" s="2">
        <v>149.80000000000001</v>
      </c>
      <c r="W39" s="2">
        <v>160.80000000000001</v>
      </c>
      <c r="X39" s="2">
        <v>147.5</v>
      </c>
      <c r="Y39" s="2">
        <v>150.69999999999999</v>
      </c>
      <c r="Z39" s="2">
        <v>158.1</v>
      </c>
      <c r="AA39" s="2">
        <v>158</v>
      </c>
      <c r="AB39" s="2">
        <v>153.4</v>
      </c>
      <c r="AC39" s="2">
        <v>160.4</v>
      </c>
    </row>
    <row r="40" spans="1:29" ht="15.5" x14ac:dyDescent="0.35">
      <c r="A40" s="37">
        <v>44378</v>
      </c>
      <c r="B40" s="36">
        <v>73.539060523809511</v>
      </c>
      <c r="C40" s="2">
        <v>149.1</v>
      </c>
      <c r="D40" s="2">
        <v>210.9</v>
      </c>
      <c r="E40" s="2">
        <v>185</v>
      </c>
      <c r="F40" s="2">
        <v>158.19999999999999</v>
      </c>
      <c r="G40" s="2">
        <v>170.6</v>
      </c>
      <c r="H40" s="2">
        <v>170.9</v>
      </c>
      <c r="I40" s="2">
        <v>186.4</v>
      </c>
      <c r="J40" s="2">
        <v>164.7</v>
      </c>
      <c r="K40" s="2">
        <v>115.7</v>
      </c>
      <c r="L40" s="2">
        <v>165.5</v>
      </c>
      <c r="M40" s="2">
        <v>153.4</v>
      </c>
      <c r="N40" s="2">
        <v>173.5</v>
      </c>
      <c r="O40" s="2">
        <v>167.9</v>
      </c>
      <c r="P40" s="2">
        <v>195.5</v>
      </c>
      <c r="Q40" s="2">
        <v>157.9</v>
      </c>
      <c r="R40" s="2">
        <v>141.9</v>
      </c>
      <c r="S40" s="2">
        <v>155.5</v>
      </c>
      <c r="T40" s="2" t="s">
        <v>144</v>
      </c>
      <c r="U40" s="2">
        <v>157.69999999999999</v>
      </c>
      <c r="V40" s="2">
        <v>150.69999999999999</v>
      </c>
      <c r="W40" s="2">
        <v>161.5</v>
      </c>
      <c r="X40" s="2">
        <v>149.5</v>
      </c>
      <c r="Y40" s="2">
        <v>151.19999999999999</v>
      </c>
      <c r="Z40" s="2">
        <v>160.30000000000001</v>
      </c>
      <c r="AA40" s="2">
        <v>159.6</v>
      </c>
      <c r="AB40" s="2">
        <v>155</v>
      </c>
      <c r="AC40" s="2">
        <v>161.80000000000001</v>
      </c>
    </row>
    <row r="41" spans="1:29" ht="15.5" x14ac:dyDescent="0.35">
      <c r="A41" s="37">
        <v>44409</v>
      </c>
      <c r="B41" s="36">
        <v>69.804724424999989</v>
      </c>
      <c r="C41" s="2">
        <v>149.30000000000001</v>
      </c>
      <c r="D41" s="2">
        <v>207.4</v>
      </c>
      <c r="E41" s="2">
        <v>174.1</v>
      </c>
      <c r="F41" s="2">
        <v>159.19999999999999</v>
      </c>
      <c r="G41" s="2">
        <v>175</v>
      </c>
      <c r="H41" s="2">
        <v>161.30000000000001</v>
      </c>
      <c r="I41" s="2">
        <v>183.3</v>
      </c>
      <c r="J41" s="2">
        <v>164.5</v>
      </c>
      <c r="K41" s="2">
        <v>120.4</v>
      </c>
      <c r="L41" s="2">
        <v>166.2</v>
      </c>
      <c r="M41" s="2">
        <v>154.80000000000001</v>
      </c>
      <c r="N41" s="2">
        <v>175.1</v>
      </c>
      <c r="O41" s="2">
        <v>167.3</v>
      </c>
      <c r="P41" s="2">
        <v>196.5</v>
      </c>
      <c r="Q41" s="2">
        <v>159.80000000000001</v>
      </c>
      <c r="R41" s="2">
        <v>143.6</v>
      </c>
      <c r="S41" s="2">
        <v>157.30000000000001</v>
      </c>
      <c r="T41" s="2" t="s">
        <v>145</v>
      </c>
      <c r="U41" s="2">
        <v>160.69999999999999</v>
      </c>
      <c r="V41" s="2">
        <v>153.19999999999999</v>
      </c>
      <c r="W41" s="2">
        <v>162.80000000000001</v>
      </c>
      <c r="X41" s="2">
        <v>150.4</v>
      </c>
      <c r="Y41" s="2">
        <v>153.69999999999999</v>
      </c>
      <c r="Z41" s="2">
        <v>160.4</v>
      </c>
      <c r="AA41" s="2">
        <v>159.6</v>
      </c>
      <c r="AB41" s="2">
        <v>156</v>
      </c>
      <c r="AC41" s="2">
        <v>162.30000000000001</v>
      </c>
    </row>
    <row r="42" spans="1:29" ht="15.5" x14ac:dyDescent="0.35">
      <c r="A42" s="37">
        <v>44440</v>
      </c>
      <c r="B42" s="36">
        <v>73.130738295454549</v>
      </c>
      <c r="C42" s="2">
        <v>149.30000000000001</v>
      </c>
      <c r="D42" s="2">
        <v>207.4</v>
      </c>
      <c r="E42" s="2">
        <v>174.1</v>
      </c>
      <c r="F42" s="2">
        <v>159.1</v>
      </c>
      <c r="G42" s="2">
        <v>175</v>
      </c>
      <c r="H42" s="2">
        <v>161.19999999999999</v>
      </c>
      <c r="I42" s="2">
        <v>183.5</v>
      </c>
      <c r="J42" s="2">
        <v>164.5</v>
      </c>
      <c r="K42" s="2">
        <v>120.4</v>
      </c>
      <c r="L42" s="2">
        <v>166.2</v>
      </c>
      <c r="M42" s="2">
        <v>154.80000000000001</v>
      </c>
      <c r="N42" s="2">
        <v>175.1</v>
      </c>
      <c r="O42" s="2">
        <v>167.3</v>
      </c>
      <c r="P42" s="2">
        <v>196.5</v>
      </c>
      <c r="Q42" s="2">
        <v>159.80000000000001</v>
      </c>
      <c r="R42" s="2">
        <v>143.6</v>
      </c>
      <c r="S42" s="2">
        <v>157.4</v>
      </c>
      <c r="T42" s="2" t="s">
        <v>145</v>
      </c>
      <c r="U42" s="2">
        <v>160.80000000000001</v>
      </c>
      <c r="V42" s="2">
        <v>153.30000000000001</v>
      </c>
      <c r="W42" s="2">
        <v>162.80000000000001</v>
      </c>
      <c r="X42" s="2">
        <v>150.5</v>
      </c>
      <c r="Y42" s="2">
        <v>153.9</v>
      </c>
      <c r="Z42" s="2">
        <v>160.30000000000001</v>
      </c>
      <c r="AA42" s="2">
        <v>159.6</v>
      </c>
      <c r="AB42" s="2">
        <v>156</v>
      </c>
      <c r="AC42" s="2">
        <v>162.30000000000001</v>
      </c>
    </row>
    <row r="43" spans="1:29" ht="15.5" x14ac:dyDescent="0.35">
      <c r="A43" s="37">
        <v>44470</v>
      </c>
      <c r="B43" s="36">
        <v>82.107393785714294</v>
      </c>
      <c r="C43" s="2">
        <v>150.1</v>
      </c>
      <c r="D43" s="2">
        <v>208.4</v>
      </c>
      <c r="E43" s="2">
        <v>173</v>
      </c>
      <c r="F43" s="2">
        <v>159.19999999999999</v>
      </c>
      <c r="G43" s="2">
        <v>176.6</v>
      </c>
      <c r="H43" s="2">
        <v>159.30000000000001</v>
      </c>
      <c r="I43" s="2">
        <v>214.4</v>
      </c>
      <c r="J43" s="2">
        <v>165.3</v>
      </c>
      <c r="K43" s="2">
        <v>122.5</v>
      </c>
      <c r="L43" s="2">
        <v>166.8</v>
      </c>
      <c r="M43" s="2">
        <v>155.4</v>
      </c>
      <c r="N43" s="2">
        <v>175.9</v>
      </c>
      <c r="O43" s="2">
        <v>171.5</v>
      </c>
      <c r="P43" s="2">
        <v>197</v>
      </c>
      <c r="Q43" s="2">
        <v>160.80000000000001</v>
      </c>
      <c r="R43" s="2">
        <v>144.4</v>
      </c>
      <c r="S43" s="2">
        <v>158.30000000000001</v>
      </c>
      <c r="T43" s="2" t="s">
        <v>146</v>
      </c>
      <c r="U43" s="2">
        <v>162.19999999999999</v>
      </c>
      <c r="V43" s="2">
        <v>154.30000000000001</v>
      </c>
      <c r="W43" s="2">
        <v>163.5</v>
      </c>
      <c r="X43" s="2">
        <v>152.19999999999999</v>
      </c>
      <c r="Y43" s="2">
        <v>155.1</v>
      </c>
      <c r="Z43" s="2">
        <v>160.30000000000001</v>
      </c>
      <c r="AA43" s="2">
        <v>160.30000000000001</v>
      </c>
      <c r="AB43" s="2">
        <v>157</v>
      </c>
      <c r="AC43" s="2">
        <v>164.6</v>
      </c>
    </row>
    <row r="44" spans="1:29" ht="15.5" x14ac:dyDescent="0.35">
      <c r="A44" s="37">
        <v>44501</v>
      </c>
      <c r="B44" s="36">
        <v>80.637301023809528</v>
      </c>
      <c r="C44" s="2">
        <v>151</v>
      </c>
      <c r="D44" s="2">
        <v>204.9</v>
      </c>
      <c r="E44" s="2">
        <v>175.4</v>
      </c>
      <c r="F44" s="2">
        <v>159.6</v>
      </c>
      <c r="G44" s="2">
        <v>175.8</v>
      </c>
      <c r="H44" s="2">
        <v>160.30000000000001</v>
      </c>
      <c r="I44" s="2">
        <v>229.1</v>
      </c>
      <c r="J44" s="2">
        <v>165.1</v>
      </c>
      <c r="K44" s="2">
        <v>123.1</v>
      </c>
      <c r="L44" s="2">
        <v>167.2</v>
      </c>
      <c r="M44" s="2">
        <v>156.1</v>
      </c>
      <c r="N44" s="2">
        <v>176.8</v>
      </c>
      <c r="O44" s="2">
        <v>173.5</v>
      </c>
      <c r="P44" s="2">
        <v>197</v>
      </c>
      <c r="Q44" s="2">
        <v>162.30000000000001</v>
      </c>
      <c r="R44" s="2">
        <v>145.30000000000001</v>
      </c>
      <c r="S44" s="2">
        <v>159.69999999999999</v>
      </c>
      <c r="T44" s="2" t="s">
        <v>147</v>
      </c>
      <c r="U44" s="2">
        <v>161.6</v>
      </c>
      <c r="V44" s="2">
        <v>155.19999999999999</v>
      </c>
      <c r="W44" s="2">
        <v>164.2</v>
      </c>
      <c r="X44" s="2">
        <v>151.19999999999999</v>
      </c>
      <c r="Y44" s="2">
        <v>156.69999999999999</v>
      </c>
      <c r="Z44" s="2">
        <v>160.80000000000001</v>
      </c>
      <c r="AA44" s="2">
        <v>161.80000000000001</v>
      </c>
      <c r="AB44" s="2">
        <v>157.30000000000001</v>
      </c>
      <c r="AC44" s="2">
        <v>165.6</v>
      </c>
    </row>
    <row r="45" spans="1:29" ht="15.5" x14ac:dyDescent="0.35">
      <c r="A45" s="37">
        <v>44531</v>
      </c>
      <c r="B45" s="36">
        <v>73.298823523809531</v>
      </c>
      <c r="C45" s="2">
        <v>151.6</v>
      </c>
      <c r="D45" s="2">
        <v>202.2</v>
      </c>
      <c r="E45" s="2">
        <v>180</v>
      </c>
      <c r="F45" s="2">
        <v>160</v>
      </c>
      <c r="G45" s="2">
        <v>173.5</v>
      </c>
      <c r="H45" s="2">
        <v>158.30000000000001</v>
      </c>
      <c r="I45" s="2">
        <v>219.5</v>
      </c>
      <c r="J45" s="2">
        <v>164.2</v>
      </c>
      <c r="K45" s="2">
        <v>121.9</v>
      </c>
      <c r="L45" s="2">
        <v>168.2</v>
      </c>
      <c r="M45" s="2">
        <v>156.5</v>
      </c>
      <c r="N45" s="2">
        <v>178.2</v>
      </c>
      <c r="O45" s="2">
        <v>172.2</v>
      </c>
      <c r="P45" s="2">
        <v>196.8</v>
      </c>
      <c r="Q45" s="2">
        <v>163.30000000000001</v>
      </c>
      <c r="R45" s="2">
        <v>146.69999999999999</v>
      </c>
      <c r="S45" s="2">
        <v>160.69999999999999</v>
      </c>
      <c r="T45" s="2" t="s">
        <v>148</v>
      </c>
      <c r="U45" s="2">
        <v>161.69999999999999</v>
      </c>
      <c r="V45" s="2">
        <v>156</v>
      </c>
      <c r="W45" s="2">
        <v>165.1</v>
      </c>
      <c r="X45" s="2">
        <v>151.80000000000001</v>
      </c>
      <c r="Y45" s="2">
        <v>157.6</v>
      </c>
      <c r="Z45" s="2">
        <v>160.6</v>
      </c>
      <c r="AA45" s="2">
        <v>162.4</v>
      </c>
      <c r="AB45" s="2">
        <v>157.80000000000001</v>
      </c>
      <c r="AC45" s="2">
        <v>165.2</v>
      </c>
    </row>
    <row r="46" spans="1:29" ht="15.5" x14ac:dyDescent="0.35">
      <c r="A46" s="37">
        <v>44562</v>
      </c>
      <c r="B46" s="36">
        <v>84.666318799999985</v>
      </c>
      <c r="C46" s="2">
        <v>152.19999999999999</v>
      </c>
      <c r="D46" s="2">
        <v>202.1</v>
      </c>
      <c r="E46" s="2">
        <v>180.1</v>
      </c>
      <c r="F46" s="2">
        <v>160.4</v>
      </c>
      <c r="G46" s="2">
        <v>171</v>
      </c>
      <c r="H46" s="2">
        <v>156.5</v>
      </c>
      <c r="I46" s="2">
        <v>203.6</v>
      </c>
      <c r="J46" s="2">
        <v>163.80000000000001</v>
      </c>
      <c r="K46" s="2">
        <v>121.3</v>
      </c>
      <c r="L46" s="2">
        <v>169.8</v>
      </c>
      <c r="M46" s="2">
        <v>156.6</v>
      </c>
      <c r="N46" s="2">
        <v>179</v>
      </c>
      <c r="O46" s="2">
        <v>170.3</v>
      </c>
      <c r="P46" s="2">
        <v>196.4</v>
      </c>
      <c r="Q46" s="2">
        <v>164.7</v>
      </c>
      <c r="R46" s="2">
        <v>148.5</v>
      </c>
      <c r="S46" s="2">
        <v>162.19999999999999</v>
      </c>
      <c r="T46" s="2" t="s">
        <v>149</v>
      </c>
      <c r="U46" s="2">
        <v>161.6</v>
      </c>
      <c r="V46" s="2">
        <v>156.80000000000001</v>
      </c>
      <c r="W46" s="2">
        <v>166.1</v>
      </c>
      <c r="X46" s="2">
        <v>152.69999999999999</v>
      </c>
      <c r="Y46" s="2">
        <v>158.4</v>
      </c>
      <c r="Z46" s="2">
        <v>161</v>
      </c>
      <c r="AA46" s="2">
        <v>162.80000000000001</v>
      </c>
      <c r="AB46" s="2">
        <v>158.6</v>
      </c>
      <c r="AC46" s="2">
        <v>165</v>
      </c>
    </row>
    <row r="47" spans="1:29" ht="15.5" x14ac:dyDescent="0.35">
      <c r="A47" s="37">
        <v>44593</v>
      </c>
      <c r="B47" s="36">
        <v>94.067715194444446</v>
      </c>
      <c r="C47" s="2">
        <v>152.5</v>
      </c>
      <c r="D47" s="2">
        <v>205.2</v>
      </c>
      <c r="E47" s="2">
        <v>176.4</v>
      </c>
      <c r="F47" s="2">
        <v>160.6</v>
      </c>
      <c r="G47" s="2">
        <v>171.5</v>
      </c>
      <c r="H47" s="2">
        <v>156.4</v>
      </c>
      <c r="I47" s="2">
        <v>198</v>
      </c>
      <c r="J47" s="2">
        <v>163.19999999999999</v>
      </c>
      <c r="K47" s="2">
        <v>120.6</v>
      </c>
      <c r="L47" s="2">
        <v>172.2</v>
      </c>
      <c r="M47" s="2">
        <v>156.69999999999999</v>
      </c>
      <c r="N47" s="2">
        <v>180</v>
      </c>
      <c r="O47" s="2">
        <v>170.2</v>
      </c>
      <c r="P47" s="2">
        <v>196.5</v>
      </c>
      <c r="Q47" s="2">
        <v>165.7</v>
      </c>
      <c r="R47" s="2">
        <v>150.4</v>
      </c>
      <c r="S47" s="2">
        <v>163.4</v>
      </c>
      <c r="T47" s="2" t="s">
        <v>150</v>
      </c>
      <c r="U47" s="2">
        <v>163</v>
      </c>
      <c r="V47" s="2">
        <v>157.4</v>
      </c>
      <c r="W47" s="2">
        <v>167.2</v>
      </c>
      <c r="X47" s="2">
        <v>153.1</v>
      </c>
      <c r="Y47" s="2">
        <v>159.5</v>
      </c>
      <c r="Z47" s="2">
        <v>162</v>
      </c>
      <c r="AA47" s="2">
        <v>164.2</v>
      </c>
      <c r="AB47" s="2">
        <v>159.4</v>
      </c>
      <c r="AC47" s="2">
        <v>165.5</v>
      </c>
    </row>
    <row r="48" spans="1:29" ht="15.5" x14ac:dyDescent="0.35">
      <c r="A48" s="37">
        <v>44621</v>
      </c>
      <c r="B48" s="36">
        <v>112.87479254347826</v>
      </c>
      <c r="C48" s="2">
        <v>153.69999999999999</v>
      </c>
      <c r="D48" s="2">
        <v>215.8</v>
      </c>
      <c r="E48" s="2">
        <v>167.7</v>
      </c>
      <c r="F48" s="2">
        <v>162.6</v>
      </c>
      <c r="G48" s="2">
        <v>180</v>
      </c>
      <c r="H48" s="2">
        <v>159.6</v>
      </c>
      <c r="I48" s="2">
        <v>188.4</v>
      </c>
      <c r="J48" s="2">
        <v>163.4</v>
      </c>
      <c r="K48" s="2">
        <v>120.3</v>
      </c>
      <c r="L48" s="2">
        <v>174.7</v>
      </c>
      <c r="M48" s="2">
        <v>157.1</v>
      </c>
      <c r="N48" s="2">
        <v>181.5</v>
      </c>
      <c r="O48" s="2">
        <v>171.5</v>
      </c>
      <c r="P48" s="2">
        <v>197.5</v>
      </c>
      <c r="Q48" s="2">
        <v>167.1</v>
      </c>
      <c r="R48" s="2">
        <v>152.6</v>
      </c>
      <c r="S48" s="2">
        <v>164.9</v>
      </c>
      <c r="T48" s="2" t="s">
        <v>151</v>
      </c>
      <c r="U48" s="2">
        <v>164.5</v>
      </c>
      <c r="V48" s="2">
        <v>158.6</v>
      </c>
      <c r="W48" s="2">
        <v>168.2</v>
      </c>
      <c r="X48" s="2">
        <v>154.19999999999999</v>
      </c>
      <c r="Y48" s="2">
        <v>160.80000000000001</v>
      </c>
      <c r="Z48" s="2">
        <v>162.69999999999999</v>
      </c>
      <c r="AA48" s="2">
        <v>166.8</v>
      </c>
      <c r="AB48" s="2">
        <v>160.6</v>
      </c>
      <c r="AC48" s="2">
        <v>166.5</v>
      </c>
    </row>
    <row r="49" spans="1:29" ht="15.5" x14ac:dyDescent="0.35">
      <c r="A49" s="37">
        <v>44652</v>
      </c>
      <c r="B49" s="36">
        <v>102.96599786842103</v>
      </c>
      <c r="C49" s="2">
        <v>155.4</v>
      </c>
      <c r="D49" s="2">
        <v>215.8</v>
      </c>
      <c r="E49" s="2">
        <v>164.6</v>
      </c>
      <c r="F49" s="2">
        <v>164.2</v>
      </c>
      <c r="G49" s="2">
        <v>186</v>
      </c>
      <c r="H49" s="2">
        <v>175.9</v>
      </c>
      <c r="I49" s="2">
        <v>190.7</v>
      </c>
      <c r="J49" s="2">
        <v>164</v>
      </c>
      <c r="K49" s="2">
        <v>120.5</v>
      </c>
      <c r="L49" s="2">
        <v>178</v>
      </c>
      <c r="M49" s="2">
        <v>157.5</v>
      </c>
      <c r="N49" s="2">
        <v>183.3</v>
      </c>
      <c r="O49" s="2">
        <v>174.5</v>
      </c>
      <c r="P49" s="2">
        <v>197.1</v>
      </c>
      <c r="Q49" s="2">
        <v>168.4</v>
      </c>
      <c r="R49" s="2">
        <v>154.5</v>
      </c>
      <c r="S49" s="2">
        <v>166.3</v>
      </c>
      <c r="T49" s="2" t="s">
        <v>152</v>
      </c>
      <c r="U49" s="2">
        <v>170.5</v>
      </c>
      <c r="V49" s="2">
        <v>159.80000000000001</v>
      </c>
      <c r="W49" s="2">
        <v>169</v>
      </c>
      <c r="X49" s="2">
        <v>159.30000000000001</v>
      </c>
      <c r="Y49" s="2">
        <v>162.19999999999999</v>
      </c>
      <c r="Z49" s="2">
        <v>164</v>
      </c>
      <c r="AA49" s="2">
        <v>168.4</v>
      </c>
      <c r="AB49" s="2">
        <v>163.1</v>
      </c>
      <c r="AC49" s="2">
        <v>169.2</v>
      </c>
    </row>
    <row r="50" spans="1:29" ht="15.5" x14ac:dyDescent="0.35">
      <c r="A50" s="37">
        <v>44682</v>
      </c>
      <c r="B50" s="36">
        <v>109.50503773684208</v>
      </c>
      <c r="C50" s="2">
        <v>156.69999999999999</v>
      </c>
      <c r="D50" s="2">
        <v>221.2</v>
      </c>
      <c r="E50" s="2">
        <v>164.1</v>
      </c>
      <c r="F50" s="2">
        <v>165.4</v>
      </c>
      <c r="G50" s="2">
        <v>189.5</v>
      </c>
      <c r="H50" s="2">
        <v>174.5</v>
      </c>
      <c r="I50" s="2">
        <v>203.2</v>
      </c>
      <c r="J50" s="2">
        <v>164.1</v>
      </c>
      <c r="K50" s="2">
        <v>121.2</v>
      </c>
      <c r="L50" s="2">
        <v>181.4</v>
      </c>
      <c r="M50" s="2">
        <v>158.5</v>
      </c>
      <c r="N50" s="2">
        <v>184.9</v>
      </c>
      <c r="O50" s="2">
        <v>177.5</v>
      </c>
      <c r="P50" s="2">
        <v>197.5</v>
      </c>
      <c r="Q50" s="2">
        <v>170</v>
      </c>
      <c r="R50" s="2">
        <v>155.9</v>
      </c>
      <c r="S50" s="2">
        <v>167.8</v>
      </c>
      <c r="T50" s="2" t="s">
        <v>153</v>
      </c>
      <c r="U50" s="2">
        <v>173.5</v>
      </c>
      <c r="V50" s="2">
        <v>161.1</v>
      </c>
      <c r="W50" s="2">
        <v>170.1</v>
      </c>
      <c r="X50" s="2">
        <v>159.4</v>
      </c>
      <c r="Y50" s="2">
        <v>163.19999999999999</v>
      </c>
      <c r="Z50" s="2">
        <v>165.2</v>
      </c>
      <c r="AA50" s="2">
        <v>168.2</v>
      </c>
      <c r="AB50" s="2">
        <v>163.80000000000001</v>
      </c>
      <c r="AC50" s="2">
        <v>170.8</v>
      </c>
    </row>
    <row r="51" spans="1:29" ht="15.5" x14ac:dyDescent="0.35">
      <c r="A51" s="37">
        <v>44713</v>
      </c>
      <c r="B51" s="36">
        <v>116.01138504999999</v>
      </c>
      <c r="C51" s="2">
        <v>157.5</v>
      </c>
      <c r="D51" s="2">
        <v>223.4</v>
      </c>
      <c r="E51" s="2">
        <v>172.8</v>
      </c>
      <c r="F51" s="2">
        <v>166.4</v>
      </c>
      <c r="G51" s="2">
        <v>188.6</v>
      </c>
      <c r="H51" s="2">
        <v>174.1</v>
      </c>
      <c r="I51" s="2">
        <v>211.5</v>
      </c>
      <c r="J51" s="2">
        <v>163.6</v>
      </c>
      <c r="K51" s="2">
        <v>121.4</v>
      </c>
      <c r="L51" s="2">
        <v>183.5</v>
      </c>
      <c r="M51" s="2">
        <v>159.1</v>
      </c>
      <c r="N51" s="2">
        <v>186.3</v>
      </c>
      <c r="O51" s="2">
        <v>179.3</v>
      </c>
      <c r="P51" s="2">
        <v>198.3</v>
      </c>
      <c r="Q51" s="2">
        <v>171.6</v>
      </c>
      <c r="R51" s="2">
        <v>157.4</v>
      </c>
      <c r="S51" s="2">
        <v>169.4</v>
      </c>
      <c r="T51" s="2" t="s">
        <v>154</v>
      </c>
      <c r="U51" s="2">
        <v>174.9</v>
      </c>
      <c r="V51" s="2">
        <v>162.1</v>
      </c>
      <c r="W51" s="2">
        <v>170.9</v>
      </c>
      <c r="X51" s="2">
        <v>157.19999999999999</v>
      </c>
      <c r="Y51" s="2">
        <v>164.1</v>
      </c>
      <c r="Z51" s="2">
        <v>166.5</v>
      </c>
      <c r="AA51" s="2">
        <v>169.2</v>
      </c>
      <c r="AB51" s="2">
        <v>163.80000000000001</v>
      </c>
      <c r="AC51" s="2">
        <v>171.4</v>
      </c>
    </row>
    <row r="52" spans="1:29" ht="15.5" x14ac:dyDescent="0.35">
      <c r="A52" s="37">
        <v>44743</v>
      </c>
      <c r="B52" s="36">
        <v>105.49124737500001</v>
      </c>
      <c r="C52" s="2">
        <v>159.30000000000001</v>
      </c>
      <c r="D52" s="2">
        <v>217.1</v>
      </c>
      <c r="E52" s="2">
        <v>176.6</v>
      </c>
      <c r="F52" s="2">
        <v>167.1</v>
      </c>
      <c r="G52" s="2">
        <v>184.8</v>
      </c>
      <c r="H52" s="2">
        <v>179.5</v>
      </c>
      <c r="I52" s="2">
        <v>208.5</v>
      </c>
      <c r="J52" s="2">
        <v>164</v>
      </c>
      <c r="K52" s="2">
        <v>121.5</v>
      </c>
      <c r="L52" s="2">
        <v>186.3</v>
      </c>
      <c r="M52" s="2">
        <v>159.80000000000001</v>
      </c>
      <c r="N52" s="2">
        <v>187.7</v>
      </c>
      <c r="O52" s="2">
        <v>179.4</v>
      </c>
      <c r="P52" s="2">
        <v>198.6</v>
      </c>
      <c r="Q52" s="2">
        <v>172.7</v>
      </c>
      <c r="R52" s="2">
        <v>158.69999999999999</v>
      </c>
      <c r="S52" s="2">
        <v>170.6</v>
      </c>
      <c r="T52" s="2" t="s">
        <v>155</v>
      </c>
      <c r="U52" s="2">
        <v>179.5</v>
      </c>
      <c r="V52" s="2">
        <v>163.1</v>
      </c>
      <c r="W52" s="2">
        <v>171.7</v>
      </c>
      <c r="X52" s="2">
        <v>157.4</v>
      </c>
      <c r="Y52" s="2">
        <v>164.6</v>
      </c>
      <c r="Z52" s="2">
        <v>169.1</v>
      </c>
      <c r="AA52" s="2">
        <v>169.8</v>
      </c>
      <c r="AB52" s="2">
        <v>164.7</v>
      </c>
      <c r="AC52" s="2">
        <v>172.3</v>
      </c>
    </row>
    <row r="53" spans="1:29" ht="15.5" x14ac:dyDescent="0.35">
      <c r="A53" s="37">
        <v>44774</v>
      </c>
      <c r="B53" s="36">
        <v>97.404465428571427</v>
      </c>
      <c r="C53" s="2">
        <v>162.1</v>
      </c>
      <c r="D53" s="2">
        <v>210.9</v>
      </c>
      <c r="E53" s="2">
        <v>170.6</v>
      </c>
      <c r="F53" s="2">
        <v>168.4</v>
      </c>
      <c r="G53" s="2">
        <v>182.5</v>
      </c>
      <c r="H53" s="2">
        <v>177.1</v>
      </c>
      <c r="I53" s="2">
        <v>213.1</v>
      </c>
      <c r="J53" s="2">
        <v>167.3</v>
      </c>
      <c r="K53" s="2">
        <v>122.2</v>
      </c>
      <c r="L53" s="2">
        <v>189.7</v>
      </c>
      <c r="M53" s="2">
        <v>160.5</v>
      </c>
      <c r="N53" s="2">
        <v>188.9</v>
      </c>
      <c r="O53" s="2">
        <v>180.4</v>
      </c>
      <c r="P53" s="2">
        <v>198.7</v>
      </c>
      <c r="Q53" s="2">
        <v>173.7</v>
      </c>
      <c r="R53" s="2">
        <v>160</v>
      </c>
      <c r="S53" s="2">
        <v>171.6</v>
      </c>
      <c r="T53" s="2" t="s">
        <v>156</v>
      </c>
      <c r="U53" s="2">
        <v>178.4</v>
      </c>
      <c r="V53" s="2">
        <v>164.2</v>
      </c>
      <c r="W53" s="2">
        <v>172.6</v>
      </c>
      <c r="X53" s="2">
        <v>157.69999999999999</v>
      </c>
      <c r="Y53" s="2">
        <v>165.1</v>
      </c>
      <c r="Z53" s="2">
        <v>169.9</v>
      </c>
      <c r="AA53" s="2">
        <v>171.4</v>
      </c>
      <c r="AB53" s="2">
        <v>165.4</v>
      </c>
      <c r="AC53" s="2">
        <v>173.1</v>
      </c>
    </row>
    <row r="54" spans="1:29" ht="15.5" x14ac:dyDescent="0.35">
      <c r="A54" s="37">
        <v>44805</v>
      </c>
      <c r="B54" s="36">
        <v>90.706344809523813</v>
      </c>
      <c r="C54" s="2">
        <v>164.9</v>
      </c>
      <c r="D54" s="2">
        <v>213.7</v>
      </c>
      <c r="E54" s="2">
        <v>170.9</v>
      </c>
      <c r="F54" s="2">
        <v>170.1</v>
      </c>
      <c r="G54" s="2">
        <v>179.3</v>
      </c>
      <c r="H54" s="2">
        <v>167.5</v>
      </c>
      <c r="I54" s="2">
        <v>220.8</v>
      </c>
      <c r="J54" s="2">
        <v>169.2</v>
      </c>
      <c r="K54" s="2">
        <v>123.1</v>
      </c>
      <c r="L54" s="2">
        <v>193.6</v>
      </c>
      <c r="M54" s="2">
        <v>161.1</v>
      </c>
      <c r="N54" s="2">
        <v>190.4</v>
      </c>
      <c r="O54" s="2">
        <v>181.8</v>
      </c>
      <c r="P54" s="2">
        <v>199.7</v>
      </c>
      <c r="Q54" s="2">
        <v>175</v>
      </c>
      <c r="R54" s="2">
        <v>161.69999999999999</v>
      </c>
      <c r="S54" s="2">
        <v>173</v>
      </c>
      <c r="T54" s="2" t="s">
        <v>157</v>
      </c>
      <c r="U54" s="2">
        <v>179.2</v>
      </c>
      <c r="V54" s="2">
        <v>165</v>
      </c>
      <c r="W54" s="2">
        <v>173.8</v>
      </c>
      <c r="X54" s="2">
        <v>158.19999999999999</v>
      </c>
      <c r="Y54" s="2">
        <v>165.8</v>
      </c>
      <c r="Z54" s="2">
        <v>170.9</v>
      </c>
      <c r="AA54" s="2">
        <v>171.1</v>
      </c>
      <c r="AB54" s="2">
        <v>166.1</v>
      </c>
      <c r="AC54" s="2">
        <v>174.1</v>
      </c>
    </row>
    <row r="55" spans="1:29" ht="15.5" x14ac:dyDescent="0.35">
      <c r="A55" s="37">
        <v>44835</v>
      </c>
      <c r="B55" s="36">
        <v>91.698948700000003</v>
      </c>
      <c r="C55" s="2">
        <v>166.4</v>
      </c>
      <c r="D55" s="2">
        <v>214.9</v>
      </c>
      <c r="E55" s="2">
        <v>171.9</v>
      </c>
      <c r="F55" s="2">
        <v>171</v>
      </c>
      <c r="G55" s="2">
        <v>177.7</v>
      </c>
      <c r="H55" s="2">
        <v>165.7</v>
      </c>
      <c r="I55" s="2">
        <v>228.6</v>
      </c>
      <c r="J55" s="2">
        <v>169.9</v>
      </c>
      <c r="K55" s="2">
        <v>123.4</v>
      </c>
      <c r="L55" s="2">
        <v>196.4</v>
      </c>
      <c r="M55" s="2">
        <v>161.6</v>
      </c>
      <c r="N55" s="2">
        <v>191.5</v>
      </c>
      <c r="O55" s="2">
        <v>183.3</v>
      </c>
      <c r="P55" s="2">
        <v>200.1</v>
      </c>
      <c r="Q55" s="2">
        <v>175.5</v>
      </c>
      <c r="R55" s="2">
        <v>162.6</v>
      </c>
      <c r="S55" s="2">
        <v>173.6</v>
      </c>
      <c r="T55" s="2" t="s">
        <v>158</v>
      </c>
      <c r="U55" s="2">
        <v>180</v>
      </c>
      <c r="V55" s="2">
        <v>166</v>
      </c>
      <c r="W55" s="2">
        <v>174.7</v>
      </c>
      <c r="X55" s="2">
        <v>158.80000000000001</v>
      </c>
      <c r="Y55" s="2">
        <v>166.3</v>
      </c>
      <c r="Z55" s="2">
        <v>171.2</v>
      </c>
      <c r="AA55" s="2">
        <v>172.3</v>
      </c>
      <c r="AB55" s="2">
        <v>166.8</v>
      </c>
      <c r="AC55" s="2">
        <v>175.3</v>
      </c>
    </row>
    <row r="56" spans="1:29" ht="15.5" x14ac:dyDescent="0.35">
      <c r="A56" s="37">
        <v>44866</v>
      </c>
      <c r="B56" s="36">
        <v>87.552266068181822</v>
      </c>
      <c r="C56" s="2">
        <v>168.4</v>
      </c>
      <c r="D56" s="2">
        <v>213.4</v>
      </c>
      <c r="E56" s="2">
        <v>183.2</v>
      </c>
      <c r="F56" s="2">
        <v>172.3</v>
      </c>
      <c r="G56" s="2">
        <v>180</v>
      </c>
      <c r="H56" s="2">
        <v>162.6</v>
      </c>
      <c r="I56" s="2">
        <v>205.5</v>
      </c>
      <c r="J56" s="2">
        <v>171</v>
      </c>
      <c r="K56" s="2">
        <v>123.4</v>
      </c>
      <c r="L56" s="2">
        <v>198.8</v>
      </c>
      <c r="M56" s="2">
        <v>162.1</v>
      </c>
      <c r="N56" s="2">
        <v>192.4</v>
      </c>
      <c r="O56" s="2">
        <v>181.3</v>
      </c>
      <c r="P56" s="2">
        <v>200.6</v>
      </c>
      <c r="Q56" s="2">
        <v>176.7</v>
      </c>
      <c r="R56" s="2">
        <v>163.5</v>
      </c>
      <c r="S56" s="2">
        <v>174.7</v>
      </c>
      <c r="T56" s="2" t="s">
        <v>159</v>
      </c>
      <c r="U56" s="2">
        <v>180.3</v>
      </c>
      <c r="V56" s="2">
        <v>166.9</v>
      </c>
      <c r="W56" s="2">
        <v>175.8</v>
      </c>
      <c r="X56" s="2">
        <v>158.9</v>
      </c>
      <c r="Y56" s="2">
        <v>166.7</v>
      </c>
      <c r="Z56" s="2">
        <v>171.5</v>
      </c>
      <c r="AA56" s="2">
        <v>173.8</v>
      </c>
      <c r="AB56" s="2">
        <v>167.4</v>
      </c>
      <c r="AC56" s="2">
        <v>174.1</v>
      </c>
    </row>
    <row r="57" spans="1:29" ht="15.5" x14ac:dyDescent="0.35">
      <c r="A57" s="37">
        <v>44896</v>
      </c>
      <c r="B57" s="36">
        <v>78.100942275000008</v>
      </c>
      <c r="C57" s="2">
        <v>170.2</v>
      </c>
      <c r="D57" s="2">
        <v>212.9</v>
      </c>
      <c r="E57" s="2">
        <v>191.9</v>
      </c>
      <c r="F57" s="2">
        <v>173.9</v>
      </c>
      <c r="G57" s="2">
        <v>179.1</v>
      </c>
      <c r="H57" s="2">
        <v>159.5</v>
      </c>
      <c r="I57" s="2">
        <v>178.7</v>
      </c>
      <c r="J57" s="2">
        <v>171.3</v>
      </c>
      <c r="K57" s="2">
        <v>123.1</v>
      </c>
      <c r="L57" s="2">
        <v>200.5</v>
      </c>
      <c r="M57" s="2">
        <v>162.80000000000001</v>
      </c>
      <c r="N57" s="2">
        <v>193.3</v>
      </c>
      <c r="O57" s="2">
        <v>178.6</v>
      </c>
      <c r="P57" s="2">
        <v>201.1</v>
      </c>
      <c r="Q57" s="2">
        <v>177.7</v>
      </c>
      <c r="R57" s="2">
        <v>164.5</v>
      </c>
      <c r="S57" s="2">
        <v>175.7</v>
      </c>
      <c r="T57" s="2" t="s">
        <v>160</v>
      </c>
      <c r="U57" s="2">
        <v>180.6</v>
      </c>
      <c r="V57" s="2">
        <v>167.3</v>
      </c>
      <c r="W57" s="2">
        <v>177.2</v>
      </c>
      <c r="X57" s="2">
        <v>159.4</v>
      </c>
      <c r="Y57" s="2">
        <v>167.1</v>
      </c>
      <c r="Z57" s="2">
        <v>171.8</v>
      </c>
      <c r="AA57" s="2">
        <v>176</v>
      </c>
      <c r="AB57" s="2">
        <v>168.2</v>
      </c>
      <c r="AC57" s="2">
        <v>174.1</v>
      </c>
    </row>
    <row r="61" spans="1:29" x14ac:dyDescent="0.35">
      <c r="A61" s="4" t="s">
        <v>267</v>
      </c>
      <c r="C61" s="73" t="s">
        <v>265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</row>
    <row r="62" spans="1:29" x14ac:dyDescent="0.35">
      <c r="C62" s="74">
        <f>CORREL($B$64:$B$87,C64:C87)</f>
        <v>0.50782673928104072</v>
      </c>
      <c r="D62" s="75">
        <f t="shared" ref="D62:AC62" si="2">CORREL($B$64:$B$87,D64:D87)</f>
        <v>0.84191192019168415</v>
      </c>
      <c r="E62" s="76">
        <f t="shared" si="2"/>
        <v>-0.2036224701816976</v>
      </c>
      <c r="F62" s="74">
        <f t="shared" si="2"/>
        <v>0.63436438765675618</v>
      </c>
      <c r="G62" s="75">
        <f t="shared" si="2"/>
        <v>0.82620259475660895</v>
      </c>
      <c r="H62" s="74">
        <f t="shared" si="2"/>
        <v>0.59139323105135344</v>
      </c>
      <c r="I62" s="74">
        <f t="shared" si="2"/>
        <v>0.35074653398470973</v>
      </c>
      <c r="J62" s="74">
        <f t="shared" si="2"/>
        <v>0.36427003644529937</v>
      </c>
      <c r="K62" s="74">
        <f t="shared" si="2"/>
        <v>0.56709729181669644</v>
      </c>
      <c r="L62" s="74">
        <f t="shared" si="2"/>
        <v>0.59053727341757856</v>
      </c>
      <c r="M62" s="74">
        <f t="shared" si="2"/>
        <v>0.75260403886846317</v>
      </c>
      <c r="N62" s="74">
        <f t="shared" si="2"/>
        <v>0.71816936627720163</v>
      </c>
      <c r="O62" s="74">
        <f t="shared" si="2"/>
        <v>0.71771593094288821</v>
      </c>
      <c r="P62" s="74">
        <f t="shared" si="2"/>
        <v>0.68867161411370348</v>
      </c>
      <c r="Q62" s="74">
        <f t="shared" si="2"/>
        <v>0.73718735666666269</v>
      </c>
      <c r="R62" s="74">
        <f t="shared" si="2"/>
        <v>0.74869562674882939</v>
      </c>
      <c r="S62" s="74">
        <f t="shared" si="2"/>
        <v>0.7393580301817575</v>
      </c>
      <c r="T62" s="74" t="e">
        <f t="shared" si="2"/>
        <v>#DIV/0!</v>
      </c>
      <c r="U62" s="74">
        <f t="shared" si="2"/>
        <v>0.73695384515053841</v>
      </c>
      <c r="V62" s="74">
        <f t="shared" si="2"/>
        <v>0.73037374022525769</v>
      </c>
      <c r="W62" s="74">
        <f t="shared" si="2"/>
        <v>0.73881995293995806</v>
      </c>
      <c r="X62" s="75">
        <f t="shared" si="2"/>
        <v>0.81520166268737893</v>
      </c>
      <c r="Y62" s="75">
        <f t="shared" si="2"/>
        <v>0.78563045522865071</v>
      </c>
      <c r="Z62" s="74">
        <f t="shared" si="2"/>
        <v>0.65313864265722477</v>
      </c>
      <c r="AA62" s="74">
        <f t="shared" si="2"/>
        <v>0.73372084561697026</v>
      </c>
      <c r="AB62" s="74">
        <f t="shared" si="2"/>
        <v>0.76560004102965407</v>
      </c>
      <c r="AC62" s="74">
        <f t="shared" si="2"/>
        <v>0.74098995346190499</v>
      </c>
    </row>
    <row r="63" spans="1:29" ht="15" x14ac:dyDescent="0.35">
      <c r="A63" s="1" t="s">
        <v>263</v>
      </c>
      <c r="B63" s="1" t="s">
        <v>262</v>
      </c>
      <c r="C63" s="1" t="s">
        <v>3</v>
      </c>
      <c r="D63" s="1" t="s">
        <v>4</v>
      </c>
      <c r="E63" s="1" t="s">
        <v>5</v>
      </c>
      <c r="F63" s="1" t="s">
        <v>6</v>
      </c>
      <c r="G63" s="1" t="s">
        <v>7</v>
      </c>
      <c r="H63" s="1" t="s">
        <v>8</v>
      </c>
      <c r="I63" s="1" t="s">
        <v>9</v>
      </c>
      <c r="J63" s="1" t="s">
        <v>10</v>
      </c>
      <c r="K63" s="1" t="s">
        <v>11</v>
      </c>
      <c r="L63" s="1" t="s">
        <v>12</v>
      </c>
      <c r="M63" s="1" t="s">
        <v>13</v>
      </c>
      <c r="N63" s="1" t="s">
        <v>14</v>
      </c>
      <c r="O63" s="1" t="s">
        <v>15</v>
      </c>
      <c r="P63" s="1" t="s">
        <v>16</v>
      </c>
      <c r="Q63" s="1" t="s">
        <v>17</v>
      </c>
      <c r="R63" s="1" t="s">
        <v>18</v>
      </c>
      <c r="S63" s="1" t="s">
        <v>19</v>
      </c>
      <c r="T63" s="1" t="s">
        <v>20</v>
      </c>
      <c r="U63" s="1" t="s">
        <v>21</v>
      </c>
      <c r="V63" s="1" t="s">
        <v>22</v>
      </c>
      <c r="W63" s="1" t="s">
        <v>23</v>
      </c>
      <c r="X63" s="1" t="s">
        <v>24</v>
      </c>
      <c r="Y63" s="1" t="s">
        <v>25</v>
      </c>
      <c r="Z63" s="1" t="s">
        <v>26</v>
      </c>
      <c r="AA63" s="1" t="s">
        <v>27</v>
      </c>
      <c r="AB63" s="1" t="s">
        <v>28</v>
      </c>
      <c r="AC63" s="1" t="s">
        <v>29</v>
      </c>
    </row>
    <row r="64" spans="1:29" ht="15.5" x14ac:dyDescent="0.35">
      <c r="A64" s="37">
        <v>44197</v>
      </c>
      <c r="B64" s="36">
        <v>54.794569624999994</v>
      </c>
      <c r="C64" s="2">
        <v>144.9</v>
      </c>
      <c r="D64" s="2">
        <v>190.1</v>
      </c>
      <c r="E64" s="2">
        <v>175.3</v>
      </c>
      <c r="F64" s="2">
        <v>154.1</v>
      </c>
      <c r="G64" s="2">
        <v>150.9</v>
      </c>
      <c r="H64" s="2">
        <v>149.6</v>
      </c>
      <c r="I64" s="2">
        <v>194.2</v>
      </c>
      <c r="J64" s="2">
        <v>160.4</v>
      </c>
      <c r="K64" s="2">
        <v>114.6</v>
      </c>
      <c r="L64" s="2">
        <v>164</v>
      </c>
      <c r="M64" s="2">
        <v>151.80000000000001</v>
      </c>
      <c r="N64" s="2">
        <v>165.6</v>
      </c>
      <c r="O64" s="2">
        <v>161</v>
      </c>
      <c r="P64" s="2">
        <v>186.5</v>
      </c>
      <c r="Q64" s="2">
        <v>155.5</v>
      </c>
      <c r="R64" s="2">
        <v>146.1</v>
      </c>
      <c r="S64" s="2">
        <v>154.19999999999999</v>
      </c>
      <c r="T64" s="2" t="s">
        <v>137</v>
      </c>
      <c r="U64" s="2">
        <v>147.9</v>
      </c>
      <c r="V64" s="2">
        <v>150</v>
      </c>
      <c r="W64" s="2">
        <v>159.30000000000001</v>
      </c>
      <c r="X64" s="2">
        <v>141.9</v>
      </c>
      <c r="Y64" s="2">
        <v>149.6</v>
      </c>
      <c r="Z64" s="2">
        <v>159.19999999999999</v>
      </c>
      <c r="AA64" s="2">
        <v>156.80000000000001</v>
      </c>
      <c r="AB64" s="2">
        <v>151.9</v>
      </c>
      <c r="AC64" s="2">
        <v>157.30000000000001</v>
      </c>
    </row>
    <row r="65" spans="1:29" ht="15.5" x14ac:dyDescent="0.35">
      <c r="A65" s="37">
        <v>44228</v>
      </c>
      <c r="B65" s="36">
        <v>61.216117289473672</v>
      </c>
      <c r="C65" s="2">
        <v>144.30000000000001</v>
      </c>
      <c r="D65" s="2">
        <v>186.5</v>
      </c>
      <c r="E65" s="2">
        <v>168.7</v>
      </c>
      <c r="F65" s="2">
        <v>154.69999999999999</v>
      </c>
      <c r="G65" s="2">
        <v>158.69999999999999</v>
      </c>
      <c r="H65" s="2">
        <v>150.69999999999999</v>
      </c>
      <c r="I65" s="2">
        <v>160</v>
      </c>
      <c r="J65" s="2">
        <v>158.80000000000001</v>
      </c>
      <c r="K65" s="2">
        <v>112.8</v>
      </c>
      <c r="L65" s="2">
        <v>164.2</v>
      </c>
      <c r="M65" s="2">
        <v>155.5</v>
      </c>
      <c r="N65" s="2">
        <v>167.5</v>
      </c>
      <c r="O65" s="2">
        <v>156.9</v>
      </c>
      <c r="P65" s="2">
        <v>188.3</v>
      </c>
      <c r="Q65" s="2">
        <v>157.19999999999999</v>
      </c>
      <c r="R65" s="2">
        <v>147.4</v>
      </c>
      <c r="S65" s="2">
        <v>155.80000000000001</v>
      </c>
      <c r="T65" s="2" t="s">
        <v>138</v>
      </c>
      <c r="U65" s="2">
        <v>152.4</v>
      </c>
      <c r="V65" s="2">
        <v>150.9</v>
      </c>
      <c r="W65" s="2">
        <v>161.30000000000001</v>
      </c>
      <c r="X65" s="2">
        <v>145.1</v>
      </c>
      <c r="Y65" s="2">
        <v>151.5</v>
      </c>
      <c r="Z65" s="2">
        <v>159.5</v>
      </c>
      <c r="AA65" s="2">
        <v>155.80000000000001</v>
      </c>
      <c r="AB65" s="2">
        <v>153.4</v>
      </c>
      <c r="AC65" s="2">
        <v>156.6</v>
      </c>
    </row>
    <row r="66" spans="1:29" ht="15.5" x14ac:dyDescent="0.35">
      <c r="A66" s="37">
        <v>44256</v>
      </c>
      <c r="B66" s="36">
        <v>64.729496782608663</v>
      </c>
      <c r="C66" s="2">
        <v>144.1</v>
      </c>
      <c r="D66" s="2">
        <v>192.2</v>
      </c>
      <c r="E66" s="2">
        <v>163.80000000000001</v>
      </c>
      <c r="F66" s="2">
        <v>154.9</v>
      </c>
      <c r="G66" s="2">
        <v>163.9</v>
      </c>
      <c r="H66" s="2">
        <v>153.69999999999999</v>
      </c>
      <c r="I66" s="2">
        <v>149.5</v>
      </c>
      <c r="J66" s="2">
        <v>159.80000000000001</v>
      </c>
      <c r="K66" s="2">
        <v>112.6</v>
      </c>
      <c r="L66" s="2">
        <v>163.5</v>
      </c>
      <c r="M66" s="2">
        <v>156.5</v>
      </c>
      <c r="N66" s="2">
        <v>168.2</v>
      </c>
      <c r="O66" s="2">
        <v>156.69999999999999</v>
      </c>
      <c r="P66" s="2">
        <v>188.1</v>
      </c>
      <c r="Q66" s="2">
        <v>157.80000000000001</v>
      </c>
      <c r="R66" s="2">
        <v>147.9</v>
      </c>
      <c r="S66" s="2">
        <v>156.4</v>
      </c>
      <c r="T66" s="2" t="s">
        <v>140</v>
      </c>
      <c r="U66" s="2">
        <v>155.5</v>
      </c>
      <c r="V66" s="2">
        <v>151.19999999999999</v>
      </c>
      <c r="W66" s="2">
        <v>161.69999999999999</v>
      </c>
      <c r="X66" s="2">
        <v>146.19999999999999</v>
      </c>
      <c r="Y66" s="2">
        <v>152.6</v>
      </c>
      <c r="Z66" s="2">
        <v>160.19999999999999</v>
      </c>
      <c r="AA66" s="2">
        <v>153.80000000000001</v>
      </c>
      <c r="AB66" s="2">
        <v>153.80000000000001</v>
      </c>
      <c r="AC66" s="2">
        <v>156.80000000000001</v>
      </c>
    </row>
    <row r="67" spans="1:29" ht="15.5" x14ac:dyDescent="0.35">
      <c r="A67" s="37">
        <v>44287</v>
      </c>
      <c r="B67" s="36">
        <v>63.396976500000008</v>
      </c>
      <c r="C67" s="2">
        <v>144.30000000000001</v>
      </c>
      <c r="D67" s="2">
        <v>198</v>
      </c>
      <c r="E67" s="2">
        <v>164.6</v>
      </c>
      <c r="F67" s="2">
        <v>155.4</v>
      </c>
      <c r="G67" s="2">
        <v>170.1</v>
      </c>
      <c r="H67" s="2">
        <v>164.4</v>
      </c>
      <c r="I67" s="2">
        <v>144.1</v>
      </c>
      <c r="J67" s="2">
        <v>161.69999999999999</v>
      </c>
      <c r="K67" s="2">
        <v>113.1</v>
      </c>
      <c r="L67" s="2">
        <v>163.9</v>
      </c>
      <c r="M67" s="2">
        <v>157.6</v>
      </c>
      <c r="N67" s="2">
        <v>168.9</v>
      </c>
      <c r="O67" s="2">
        <v>158</v>
      </c>
      <c r="P67" s="2">
        <v>188.8</v>
      </c>
      <c r="Q67" s="2">
        <v>158.80000000000001</v>
      </c>
      <c r="R67" s="2">
        <v>148.5</v>
      </c>
      <c r="S67" s="2">
        <v>157.30000000000001</v>
      </c>
      <c r="T67" s="2" t="s">
        <v>141</v>
      </c>
      <c r="U67" s="2">
        <v>155.6</v>
      </c>
      <c r="V67" s="2">
        <v>151.80000000000001</v>
      </c>
      <c r="W67" s="2">
        <v>162.30000000000001</v>
      </c>
      <c r="X67" s="2">
        <v>146.6</v>
      </c>
      <c r="Y67" s="2">
        <v>153.19999999999999</v>
      </c>
      <c r="Z67" s="2">
        <v>160.30000000000001</v>
      </c>
      <c r="AA67" s="2">
        <v>155.4</v>
      </c>
      <c r="AB67" s="2">
        <v>154.4</v>
      </c>
      <c r="AC67" s="2">
        <v>157.80000000000001</v>
      </c>
    </row>
    <row r="68" spans="1:29" ht="15.5" x14ac:dyDescent="0.35">
      <c r="A68" s="37">
        <v>44317</v>
      </c>
      <c r="B68" s="36">
        <v>66.953084852941174</v>
      </c>
      <c r="C68" s="2">
        <v>146.30000000000001</v>
      </c>
      <c r="D68" s="2">
        <v>200.5</v>
      </c>
      <c r="E68" s="2">
        <v>170.3</v>
      </c>
      <c r="F68" s="2">
        <v>156.1</v>
      </c>
      <c r="G68" s="2">
        <v>178.7</v>
      </c>
      <c r="H68" s="2">
        <v>167.1</v>
      </c>
      <c r="I68" s="2">
        <v>147.9</v>
      </c>
      <c r="J68" s="2">
        <v>165.4</v>
      </c>
      <c r="K68" s="2">
        <v>114.8</v>
      </c>
      <c r="L68" s="2">
        <v>168.2</v>
      </c>
      <c r="M68" s="2">
        <v>159.30000000000001</v>
      </c>
      <c r="N68" s="2">
        <v>170.4</v>
      </c>
      <c r="O68" s="2">
        <v>160.69999999999999</v>
      </c>
      <c r="P68" s="2">
        <v>191.9</v>
      </c>
      <c r="Q68" s="2">
        <v>161.80000000000001</v>
      </c>
      <c r="R68" s="2">
        <v>152.1</v>
      </c>
      <c r="S68" s="2">
        <v>160.4</v>
      </c>
      <c r="T68" s="2" t="s">
        <v>142</v>
      </c>
      <c r="U68" s="2">
        <v>159.4</v>
      </c>
      <c r="V68" s="2">
        <v>154.69999999999999</v>
      </c>
      <c r="W68" s="2">
        <v>165.8</v>
      </c>
      <c r="X68" s="2">
        <v>148.9</v>
      </c>
      <c r="Y68" s="2">
        <v>155.80000000000001</v>
      </c>
      <c r="Z68" s="2">
        <v>161.19999999999999</v>
      </c>
      <c r="AA68" s="2">
        <v>158.6</v>
      </c>
      <c r="AB68" s="2">
        <v>156.80000000000001</v>
      </c>
      <c r="AC68" s="2">
        <v>160.4</v>
      </c>
    </row>
    <row r="69" spans="1:29" ht="15.5" x14ac:dyDescent="0.35">
      <c r="A69" s="37">
        <v>44348</v>
      </c>
      <c r="B69" s="36">
        <v>71.982647477272721</v>
      </c>
      <c r="C69" s="2">
        <v>146.69999999999999</v>
      </c>
      <c r="D69" s="2">
        <v>202</v>
      </c>
      <c r="E69" s="2">
        <v>180.7</v>
      </c>
      <c r="F69" s="2">
        <v>156.19999999999999</v>
      </c>
      <c r="G69" s="2">
        <v>183.7</v>
      </c>
      <c r="H69" s="2">
        <v>164.6</v>
      </c>
      <c r="I69" s="2">
        <v>155.4</v>
      </c>
      <c r="J69" s="2">
        <v>166</v>
      </c>
      <c r="K69" s="2">
        <v>115.1</v>
      </c>
      <c r="L69" s="2">
        <v>168.5</v>
      </c>
      <c r="M69" s="2">
        <v>160</v>
      </c>
      <c r="N69" s="2">
        <v>172.4</v>
      </c>
      <c r="O69" s="2">
        <v>162.6</v>
      </c>
      <c r="P69" s="2">
        <v>190.8</v>
      </c>
      <c r="Q69" s="2">
        <v>162.19999999999999</v>
      </c>
      <c r="R69" s="2">
        <v>151.80000000000001</v>
      </c>
      <c r="S69" s="2">
        <v>160.69999999999999</v>
      </c>
      <c r="T69" s="2" t="s">
        <v>143</v>
      </c>
      <c r="U69" s="2">
        <v>159.80000000000001</v>
      </c>
      <c r="V69" s="2">
        <v>154.80000000000001</v>
      </c>
      <c r="W69" s="2">
        <v>166.3</v>
      </c>
      <c r="X69" s="2">
        <v>150.69999999999999</v>
      </c>
      <c r="Y69" s="2">
        <v>154.9</v>
      </c>
      <c r="Z69" s="2">
        <v>161.69999999999999</v>
      </c>
      <c r="AA69" s="2">
        <v>158.80000000000001</v>
      </c>
      <c r="AB69" s="2">
        <v>157.6</v>
      </c>
      <c r="AC69" s="2">
        <v>161.30000000000001</v>
      </c>
    </row>
    <row r="70" spans="1:29" ht="15.5" x14ac:dyDescent="0.35">
      <c r="A70" s="37">
        <v>44378</v>
      </c>
      <c r="B70" s="36">
        <v>73.539060523809511</v>
      </c>
      <c r="C70" s="2">
        <v>146.4</v>
      </c>
      <c r="D70" s="2">
        <v>206.8</v>
      </c>
      <c r="E70" s="2">
        <v>182.2</v>
      </c>
      <c r="F70" s="2">
        <v>157.5</v>
      </c>
      <c r="G70" s="2">
        <v>182.1</v>
      </c>
      <c r="H70" s="2">
        <v>163.9</v>
      </c>
      <c r="I70" s="2">
        <v>164.2</v>
      </c>
      <c r="J70" s="2">
        <v>164</v>
      </c>
      <c r="K70" s="2">
        <v>114.5</v>
      </c>
      <c r="L70" s="2">
        <v>168.3</v>
      </c>
      <c r="M70" s="2">
        <v>160.9</v>
      </c>
      <c r="N70" s="2">
        <v>172.2</v>
      </c>
      <c r="O70" s="2">
        <v>164</v>
      </c>
      <c r="P70" s="2">
        <v>191.2</v>
      </c>
      <c r="Q70" s="2">
        <v>162.80000000000001</v>
      </c>
      <c r="R70" s="2">
        <v>153.1</v>
      </c>
      <c r="S70" s="2">
        <v>161.4</v>
      </c>
      <c r="T70" s="2" t="s">
        <v>144</v>
      </c>
      <c r="U70" s="2">
        <v>160.69999999999999</v>
      </c>
      <c r="V70" s="2">
        <v>155.80000000000001</v>
      </c>
      <c r="W70" s="2">
        <v>167</v>
      </c>
      <c r="X70" s="2">
        <v>153.1</v>
      </c>
      <c r="Y70" s="2">
        <v>155.30000000000001</v>
      </c>
      <c r="Z70" s="2">
        <v>163.19999999999999</v>
      </c>
      <c r="AA70" s="2">
        <v>160.1</v>
      </c>
      <c r="AB70" s="2">
        <v>159</v>
      </c>
      <c r="AC70" s="2">
        <v>162.5</v>
      </c>
    </row>
    <row r="71" spans="1:29" ht="15.5" x14ac:dyDescent="0.35">
      <c r="A71" s="37">
        <v>44409</v>
      </c>
      <c r="B71" s="36">
        <v>69.804724424999989</v>
      </c>
      <c r="C71" s="2">
        <v>146.6</v>
      </c>
      <c r="D71" s="2">
        <v>204</v>
      </c>
      <c r="E71" s="2">
        <v>172.8</v>
      </c>
      <c r="F71" s="2">
        <v>158.4</v>
      </c>
      <c r="G71" s="2">
        <v>188</v>
      </c>
      <c r="H71" s="2">
        <v>156.80000000000001</v>
      </c>
      <c r="I71" s="2">
        <v>162.19999999999999</v>
      </c>
      <c r="J71" s="2">
        <v>164.1</v>
      </c>
      <c r="K71" s="2">
        <v>119.7</v>
      </c>
      <c r="L71" s="2">
        <v>168.8</v>
      </c>
      <c r="M71" s="2">
        <v>162.69999999999999</v>
      </c>
      <c r="N71" s="2">
        <v>173.9</v>
      </c>
      <c r="O71" s="2">
        <v>164</v>
      </c>
      <c r="P71" s="2">
        <v>192.1</v>
      </c>
      <c r="Q71" s="2">
        <v>164.5</v>
      </c>
      <c r="R71" s="2">
        <v>155.30000000000001</v>
      </c>
      <c r="S71" s="2">
        <v>163.19999999999999</v>
      </c>
      <c r="T71" s="2" t="s">
        <v>145</v>
      </c>
      <c r="U71" s="2">
        <v>162.6</v>
      </c>
      <c r="V71" s="2">
        <v>157.5</v>
      </c>
      <c r="W71" s="2">
        <v>168.4</v>
      </c>
      <c r="X71" s="2">
        <v>154</v>
      </c>
      <c r="Y71" s="2">
        <v>157.6</v>
      </c>
      <c r="Z71" s="2">
        <v>163.80000000000001</v>
      </c>
      <c r="AA71" s="2">
        <v>160</v>
      </c>
      <c r="AB71" s="2">
        <v>160</v>
      </c>
      <c r="AC71" s="2">
        <v>163.19999999999999</v>
      </c>
    </row>
    <row r="72" spans="1:29" ht="15.5" x14ac:dyDescent="0.35">
      <c r="A72" s="37">
        <v>44440</v>
      </c>
      <c r="B72" s="36">
        <v>73.130738295454549</v>
      </c>
      <c r="C72" s="2">
        <v>146.6</v>
      </c>
      <c r="D72" s="2">
        <v>204</v>
      </c>
      <c r="E72" s="2">
        <v>172.8</v>
      </c>
      <c r="F72" s="2">
        <v>158.4</v>
      </c>
      <c r="G72" s="2">
        <v>188</v>
      </c>
      <c r="H72" s="2">
        <v>156.69999999999999</v>
      </c>
      <c r="I72" s="2">
        <v>162.30000000000001</v>
      </c>
      <c r="J72" s="2">
        <v>164.1</v>
      </c>
      <c r="K72" s="2">
        <v>119.7</v>
      </c>
      <c r="L72" s="2">
        <v>168.8</v>
      </c>
      <c r="M72" s="2">
        <v>162.69999999999999</v>
      </c>
      <c r="N72" s="2">
        <v>173.9</v>
      </c>
      <c r="O72" s="2">
        <v>164</v>
      </c>
      <c r="P72" s="2">
        <v>192.1</v>
      </c>
      <c r="Q72" s="2">
        <v>164.6</v>
      </c>
      <c r="R72" s="2">
        <v>155.30000000000001</v>
      </c>
      <c r="S72" s="2">
        <v>163.30000000000001</v>
      </c>
      <c r="T72" s="2" t="s">
        <v>145</v>
      </c>
      <c r="U72" s="2">
        <v>162.6</v>
      </c>
      <c r="V72" s="2">
        <v>157.5</v>
      </c>
      <c r="W72" s="2">
        <v>168.4</v>
      </c>
      <c r="X72" s="2">
        <v>154</v>
      </c>
      <c r="Y72" s="2">
        <v>157.69999999999999</v>
      </c>
      <c r="Z72" s="2">
        <v>163.69999999999999</v>
      </c>
      <c r="AA72" s="2">
        <v>160</v>
      </c>
      <c r="AB72" s="2">
        <v>160</v>
      </c>
      <c r="AC72" s="2">
        <v>163.19999999999999</v>
      </c>
    </row>
    <row r="73" spans="1:29" ht="15.5" x14ac:dyDescent="0.35">
      <c r="A73" s="37">
        <v>44470</v>
      </c>
      <c r="B73" s="36">
        <v>82.107393785714294</v>
      </c>
      <c r="C73" s="2">
        <v>147.4</v>
      </c>
      <c r="D73" s="2">
        <v>204.6</v>
      </c>
      <c r="E73" s="2">
        <v>171.2</v>
      </c>
      <c r="F73" s="2">
        <v>158.69999999999999</v>
      </c>
      <c r="G73" s="2">
        <v>190.6</v>
      </c>
      <c r="H73" s="2">
        <v>155.69999999999999</v>
      </c>
      <c r="I73" s="2">
        <v>185.3</v>
      </c>
      <c r="J73" s="2">
        <v>165.2</v>
      </c>
      <c r="K73" s="2">
        <v>121.9</v>
      </c>
      <c r="L73" s="2">
        <v>169.3</v>
      </c>
      <c r="M73" s="2">
        <v>163.19999999999999</v>
      </c>
      <c r="N73" s="2">
        <v>174.7</v>
      </c>
      <c r="O73" s="2">
        <v>167.7</v>
      </c>
      <c r="P73" s="2">
        <v>192.7</v>
      </c>
      <c r="Q73" s="2">
        <v>165.7</v>
      </c>
      <c r="R73" s="2">
        <v>156.30000000000001</v>
      </c>
      <c r="S73" s="2">
        <v>164.3</v>
      </c>
      <c r="T73" s="2" t="s">
        <v>146</v>
      </c>
      <c r="U73" s="2">
        <v>164.2</v>
      </c>
      <c r="V73" s="2">
        <v>158.4</v>
      </c>
      <c r="W73" s="2">
        <v>169.1</v>
      </c>
      <c r="X73" s="2">
        <v>155.69999999999999</v>
      </c>
      <c r="Y73" s="2">
        <v>158.6</v>
      </c>
      <c r="Z73" s="2">
        <v>163.9</v>
      </c>
      <c r="AA73" s="2">
        <v>160.80000000000001</v>
      </c>
      <c r="AB73" s="2">
        <v>161</v>
      </c>
      <c r="AC73" s="2">
        <v>165.5</v>
      </c>
    </row>
    <row r="74" spans="1:29" ht="15.5" x14ac:dyDescent="0.35">
      <c r="A74" s="37">
        <v>44501</v>
      </c>
      <c r="B74" s="36">
        <v>80.637301023809528</v>
      </c>
      <c r="C74" s="2">
        <v>148.19999999999999</v>
      </c>
      <c r="D74" s="2">
        <v>201.6</v>
      </c>
      <c r="E74" s="2">
        <v>173</v>
      </c>
      <c r="F74" s="2">
        <v>159.30000000000001</v>
      </c>
      <c r="G74" s="2">
        <v>190.1</v>
      </c>
      <c r="H74" s="2">
        <v>156.5</v>
      </c>
      <c r="I74" s="2">
        <v>199.2</v>
      </c>
      <c r="J74" s="2">
        <v>165.3</v>
      </c>
      <c r="K74" s="2">
        <v>122.4</v>
      </c>
      <c r="L74" s="2">
        <v>169.6</v>
      </c>
      <c r="M74" s="2">
        <v>163.69999999999999</v>
      </c>
      <c r="N74" s="2">
        <v>175.5</v>
      </c>
      <c r="O74" s="2">
        <v>169.7</v>
      </c>
      <c r="P74" s="2">
        <v>192.9</v>
      </c>
      <c r="Q74" s="2">
        <v>167.2</v>
      </c>
      <c r="R74" s="2">
        <v>157.4</v>
      </c>
      <c r="S74" s="2">
        <v>165.8</v>
      </c>
      <c r="T74" s="2" t="s">
        <v>147</v>
      </c>
      <c r="U74" s="2">
        <v>163.9</v>
      </c>
      <c r="V74" s="2">
        <v>159.30000000000001</v>
      </c>
      <c r="W74" s="2">
        <v>169.9</v>
      </c>
      <c r="X74" s="2">
        <v>154.80000000000001</v>
      </c>
      <c r="Y74" s="2">
        <v>159.80000000000001</v>
      </c>
      <c r="Z74" s="2">
        <v>164.3</v>
      </c>
      <c r="AA74" s="2">
        <v>162.19999999999999</v>
      </c>
      <c r="AB74" s="2">
        <v>161.4</v>
      </c>
      <c r="AC74" s="2">
        <v>166.7</v>
      </c>
    </row>
    <row r="75" spans="1:29" ht="15.5" x14ac:dyDescent="0.35">
      <c r="A75" s="37">
        <v>44531</v>
      </c>
      <c r="B75" s="36">
        <v>73.298823523809531</v>
      </c>
      <c r="C75" s="2">
        <v>148.69999999999999</v>
      </c>
      <c r="D75" s="2">
        <v>198.8</v>
      </c>
      <c r="E75" s="2">
        <v>177.9</v>
      </c>
      <c r="F75" s="2">
        <v>159.9</v>
      </c>
      <c r="G75" s="2">
        <v>187.6</v>
      </c>
      <c r="H75" s="2">
        <v>154.9</v>
      </c>
      <c r="I75" s="2">
        <v>188.3</v>
      </c>
      <c r="J75" s="2">
        <v>164.4</v>
      </c>
      <c r="K75" s="2">
        <v>121</v>
      </c>
      <c r="L75" s="2">
        <v>170.5</v>
      </c>
      <c r="M75" s="2">
        <v>164.2</v>
      </c>
      <c r="N75" s="2">
        <v>176.5</v>
      </c>
      <c r="O75" s="2">
        <v>168.2</v>
      </c>
      <c r="P75" s="2">
        <v>192.4</v>
      </c>
      <c r="Q75" s="2">
        <v>168.5</v>
      </c>
      <c r="R75" s="2">
        <v>158.69999999999999</v>
      </c>
      <c r="S75" s="2">
        <v>167</v>
      </c>
      <c r="T75" s="2" t="s">
        <v>148</v>
      </c>
      <c r="U75" s="2">
        <v>164.1</v>
      </c>
      <c r="V75" s="2">
        <v>160.19999999999999</v>
      </c>
      <c r="W75" s="2">
        <v>170.6</v>
      </c>
      <c r="X75" s="2">
        <v>155.69999999999999</v>
      </c>
      <c r="Y75" s="2">
        <v>160.6</v>
      </c>
      <c r="Z75" s="2">
        <v>164.4</v>
      </c>
      <c r="AA75" s="2">
        <v>162.6</v>
      </c>
      <c r="AB75" s="2">
        <v>162</v>
      </c>
      <c r="AC75" s="2">
        <v>166.2</v>
      </c>
    </row>
    <row r="76" spans="1:29" ht="15.5" x14ac:dyDescent="0.35">
      <c r="A76" s="37">
        <v>44562</v>
      </c>
      <c r="B76" s="36">
        <v>84.666318799999985</v>
      </c>
      <c r="C76" s="2">
        <v>149.5</v>
      </c>
      <c r="D76" s="2">
        <v>198.7</v>
      </c>
      <c r="E76" s="2">
        <v>178.8</v>
      </c>
      <c r="F76" s="2">
        <v>160.5</v>
      </c>
      <c r="G76" s="2">
        <v>184.7</v>
      </c>
      <c r="H76" s="2">
        <v>153.69999999999999</v>
      </c>
      <c r="I76" s="2">
        <v>174.3</v>
      </c>
      <c r="J76" s="2">
        <v>163.9</v>
      </c>
      <c r="K76" s="2">
        <v>120</v>
      </c>
      <c r="L76" s="2">
        <v>172.1</v>
      </c>
      <c r="M76" s="2">
        <v>164.3</v>
      </c>
      <c r="N76" s="2">
        <v>177.3</v>
      </c>
      <c r="O76" s="2">
        <v>166.4</v>
      </c>
      <c r="P76" s="2">
        <v>192.2</v>
      </c>
      <c r="Q76" s="2">
        <v>169.9</v>
      </c>
      <c r="R76" s="2">
        <v>160.69999999999999</v>
      </c>
      <c r="S76" s="2">
        <v>168.5</v>
      </c>
      <c r="T76" s="2" t="s">
        <v>149</v>
      </c>
      <c r="U76" s="2">
        <v>164.2</v>
      </c>
      <c r="V76" s="2">
        <v>161.1</v>
      </c>
      <c r="W76" s="2">
        <v>171.4</v>
      </c>
      <c r="X76" s="2">
        <v>156.5</v>
      </c>
      <c r="Y76" s="2">
        <v>161.19999999999999</v>
      </c>
      <c r="Z76" s="2">
        <v>164.7</v>
      </c>
      <c r="AA76" s="2">
        <v>163</v>
      </c>
      <c r="AB76" s="2">
        <v>162.69999999999999</v>
      </c>
      <c r="AC76" s="2">
        <v>165.7</v>
      </c>
    </row>
    <row r="77" spans="1:29" ht="15.5" x14ac:dyDescent="0.35">
      <c r="A77" s="37">
        <v>44593</v>
      </c>
      <c r="B77" s="36">
        <v>94.067715194444446</v>
      </c>
      <c r="C77" s="2">
        <v>150</v>
      </c>
      <c r="D77" s="2">
        <v>200.6</v>
      </c>
      <c r="E77" s="2">
        <v>175.8</v>
      </c>
      <c r="F77" s="2">
        <v>160.69999999999999</v>
      </c>
      <c r="G77" s="2">
        <v>184.9</v>
      </c>
      <c r="H77" s="2">
        <v>153.69999999999999</v>
      </c>
      <c r="I77" s="2">
        <v>169.7</v>
      </c>
      <c r="J77" s="2">
        <v>163.69999999999999</v>
      </c>
      <c r="K77" s="2">
        <v>118.9</v>
      </c>
      <c r="L77" s="2">
        <v>174.3</v>
      </c>
      <c r="M77" s="2">
        <v>164.7</v>
      </c>
      <c r="N77" s="2">
        <v>178</v>
      </c>
      <c r="O77" s="2">
        <v>166.2</v>
      </c>
      <c r="P77" s="2">
        <v>192.8</v>
      </c>
      <c r="Q77" s="2">
        <v>170.8</v>
      </c>
      <c r="R77" s="2">
        <v>162.4</v>
      </c>
      <c r="S77" s="2">
        <v>169.6</v>
      </c>
      <c r="T77" s="2" t="s">
        <v>150</v>
      </c>
      <c r="U77" s="2">
        <v>165.7</v>
      </c>
      <c r="V77" s="2">
        <v>161.80000000000001</v>
      </c>
      <c r="W77" s="2">
        <v>172.2</v>
      </c>
      <c r="X77" s="2">
        <v>156.9</v>
      </c>
      <c r="Y77" s="2">
        <v>162.1</v>
      </c>
      <c r="Z77" s="2">
        <v>165.4</v>
      </c>
      <c r="AA77" s="2">
        <v>164.4</v>
      </c>
      <c r="AB77" s="2">
        <v>163.5</v>
      </c>
      <c r="AC77" s="2">
        <v>166.1</v>
      </c>
    </row>
    <row r="78" spans="1:29" ht="15.5" x14ac:dyDescent="0.35">
      <c r="A78" s="37">
        <v>44621</v>
      </c>
      <c r="B78" s="36">
        <v>112.87479254347826</v>
      </c>
      <c r="C78" s="2">
        <v>151.30000000000001</v>
      </c>
      <c r="D78" s="2">
        <v>210.7</v>
      </c>
      <c r="E78" s="2">
        <v>167.8</v>
      </c>
      <c r="F78" s="2">
        <v>162.19999999999999</v>
      </c>
      <c r="G78" s="2">
        <v>194.6</v>
      </c>
      <c r="H78" s="2">
        <v>157.6</v>
      </c>
      <c r="I78" s="2">
        <v>166.9</v>
      </c>
      <c r="J78" s="2">
        <v>163.9</v>
      </c>
      <c r="K78" s="2">
        <v>118.8</v>
      </c>
      <c r="L78" s="2">
        <v>177.4</v>
      </c>
      <c r="M78" s="2">
        <v>165.3</v>
      </c>
      <c r="N78" s="2">
        <v>179.3</v>
      </c>
      <c r="O78" s="2">
        <v>168.4</v>
      </c>
      <c r="P78" s="2">
        <v>193.7</v>
      </c>
      <c r="Q78" s="2">
        <v>172.1</v>
      </c>
      <c r="R78" s="2">
        <v>164.6</v>
      </c>
      <c r="S78" s="2">
        <v>171.1</v>
      </c>
      <c r="T78" s="2" t="s">
        <v>151</v>
      </c>
      <c r="U78" s="2">
        <v>167.2</v>
      </c>
      <c r="V78" s="2">
        <v>162.80000000000001</v>
      </c>
      <c r="W78" s="2">
        <v>173</v>
      </c>
      <c r="X78" s="2">
        <v>157.9</v>
      </c>
      <c r="Y78" s="2">
        <v>163.30000000000001</v>
      </c>
      <c r="Z78" s="2">
        <v>166</v>
      </c>
      <c r="AA78" s="2">
        <v>167.2</v>
      </c>
      <c r="AB78" s="2">
        <v>164.6</v>
      </c>
      <c r="AC78" s="2">
        <v>167.7</v>
      </c>
    </row>
    <row r="79" spans="1:29" ht="15.5" x14ac:dyDescent="0.35">
      <c r="A79" s="37">
        <v>44652</v>
      </c>
      <c r="B79" s="36">
        <v>102.96599786842103</v>
      </c>
      <c r="C79" s="2">
        <v>152.9</v>
      </c>
      <c r="D79" s="2">
        <v>211.8</v>
      </c>
      <c r="E79" s="2">
        <v>164.5</v>
      </c>
      <c r="F79" s="2">
        <v>163.9</v>
      </c>
      <c r="G79" s="2">
        <v>199.5</v>
      </c>
      <c r="H79" s="2">
        <v>172.6</v>
      </c>
      <c r="I79" s="2">
        <v>166.2</v>
      </c>
      <c r="J79" s="2">
        <v>164.7</v>
      </c>
      <c r="K79" s="2">
        <v>119</v>
      </c>
      <c r="L79" s="2">
        <v>181.3</v>
      </c>
      <c r="M79" s="2">
        <v>166.2</v>
      </c>
      <c r="N79" s="2">
        <v>180.9</v>
      </c>
      <c r="O79" s="2">
        <v>170.8</v>
      </c>
      <c r="P79" s="2">
        <v>193.9</v>
      </c>
      <c r="Q79" s="2">
        <v>173.9</v>
      </c>
      <c r="R79" s="2">
        <v>166.5</v>
      </c>
      <c r="S79" s="2">
        <v>172.8</v>
      </c>
      <c r="T79" s="2" t="s">
        <v>152</v>
      </c>
      <c r="U79" s="2">
        <v>172.2</v>
      </c>
      <c r="V79" s="2">
        <v>164</v>
      </c>
      <c r="W79" s="2">
        <v>174</v>
      </c>
      <c r="X79" s="2">
        <v>162.6</v>
      </c>
      <c r="Y79" s="2">
        <v>164.4</v>
      </c>
      <c r="Z79" s="2">
        <v>166.9</v>
      </c>
      <c r="AA79" s="2">
        <v>168.8</v>
      </c>
      <c r="AB79" s="2">
        <v>166.8</v>
      </c>
      <c r="AC79" s="2">
        <v>170.1</v>
      </c>
    </row>
    <row r="80" spans="1:29" ht="15.5" x14ac:dyDescent="0.35">
      <c r="A80" s="37">
        <v>44682</v>
      </c>
      <c r="B80" s="36">
        <v>109.50503773684208</v>
      </c>
      <c r="C80" s="2">
        <v>154.1</v>
      </c>
      <c r="D80" s="2">
        <v>217</v>
      </c>
      <c r="E80" s="2">
        <v>162.4</v>
      </c>
      <c r="F80" s="2">
        <v>164.9</v>
      </c>
      <c r="G80" s="2">
        <v>202.4</v>
      </c>
      <c r="H80" s="2">
        <v>171</v>
      </c>
      <c r="I80" s="2">
        <v>174.9</v>
      </c>
      <c r="J80" s="2">
        <v>164.7</v>
      </c>
      <c r="K80" s="2">
        <v>119.7</v>
      </c>
      <c r="L80" s="2">
        <v>184.9</v>
      </c>
      <c r="M80" s="2">
        <v>167.1</v>
      </c>
      <c r="N80" s="2">
        <v>182.5</v>
      </c>
      <c r="O80" s="2">
        <v>173.3</v>
      </c>
      <c r="P80" s="2">
        <v>194.1</v>
      </c>
      <c r="Q80" s="2">
        <v>175.6</v>
      </c>
      <c r="R80" s="2">
        <v>168.4</v>
      </c>
      <c r="S80" s="2">
        <v>174.6</v>
      </c>
      <c r="T80" s="2" t="s">
        <v>153</v>
      </c>
      <c r="U80" s="2">
        <v>174.6</v>
      </c>
      <c r="V80" s="2">
        <v>165.2</v>
      </c>
      <c r="W80" s="2">
        <v>174.8</v>
      </c>
      <c r="X80" s="2">
        <v>163</v>
      </c>
      <c r="Y80" s="2">
        <v>165.1</v>
      </c>
      <c r="Z80" s="2">
        <v>167.9</v>
      </c>
      <c r="AA80" s="2">
        <v>168.4</v>
      </c>
      <c r="AB80" s="2">
        <v>167.5</v>
      </c>
      <c r="AC80" s="2">
        <v>171.7</v>
      </c>
    </row>
    <row r="81" spans="1:29" ht="15.5" x14ac:dyDescent="0.35">
      <c r="A81" s="37">
        <v>44713</v>
      </c>
      <c r="B81" s="36">
        <v>116.01138504999999</v>
      </c>
      <c r="C81" s="2">
        <v>155</v>
      </c>
      <c r="D81" s="2">
        <v>219.4</v>
      </c>
      <c r="E81" s="2">
        <v>170.8</v>
      </c>
      <c r="F81" s="2">
        <v>165.8</v>
      </c>
      <c r="G81" s="2">
        <v>200.9</v>
      </c>
      <c r="H81" s="2">
        <v>169.7</v>
      </c>
      <c r="I81" s="2">
        <v>182.3</v>
      </c>
      <c r="J81" s="2">
        <v>164.3</v>
      </c>
      <c r="K81" s="2">
        <v>119.9</v>
      </c>
      <c r="L81" s="2">
        <v>187.1</v>
      </c>
      <c r="M81" s="2">
        <v>167.9</v>
      </c>
      <c r="N81" s="2">
        <v>183.9</v>
      </c>
      <c r="O81" s="2">
        <v>174.9</v>
      </c>
      <c r="P81" s="2">
        <v>194.3</v>
      </c>
      <c r="Q81" s="2">
        <v>177.1</v>
      </c>
      <c r="R81" s="2">
        <v>169.9</v>
      </c>
      <c r="S81" s="2">
        <v>176</v>
      </c>
      <c r="T81" s="2" t="s">
        <v>154</v>
      </c>
      <c r="U81" s="2">
        <v>176</v>
      </c>
      <c r="V81" s="2">
        <v>166.4</v>
      </c>
      <c r="W81" s="2">
        <v>175.4</v>
      </c>
      <c r="X81" s="2">
        <v>161.1</v>
      </c>
      <c r="Y81" s="2">
        <v>165.8</v>
      </c>
      <c r="Z81" s="2">
        <v>169</v>
      </c>
      <c r="AA81" s="2">
        <v>169.4</v>
      </c>
      <c r="AB81" s="2">
        <v>167.5</v>
      </c>
      <c r="AC81" s="2">
        <v>172.6</v>
      </c>
    </row>
    <row r="82" spans="1:29" ht="15.5" x14ac:dyDescent="0.35">
      <c r="A82" s="37">
        <v>44743</v>
      </c>
      <c r="B82" s="36">
        <v>105.49124737500001</v>
      </c>
      <c r="C82" s="2">
        <v>156.5</v>
      </c>
      <c r="D82" s="2">
        <v>213</v>
      </c>
      <c r="E82" s="2">
        <v>175.2</v>
      </c>
      <c r="F82" s="2">
        <v>166.6</v>
      </c>
      <c r="G82" s="2">
        <v>195.8</v>
      </c>
      <c r="H82" s="2">
        <v>174.2</v>
      </c>
      <c r="I82" s="2">
        <v>182.1</v>
      </c>
      <c r="J82" s="2">
        <v>164.3</v>
      </c>
      <c r="K82" s="2">
        <v>120</v>
      </c>
      <c r="L82" s="2">
        <v>190</v>
      </c>
      <c r="M82" s="2">
        <v>168.4</v>
      </c>
      <c r="N82" s="2">
        <v>185.2</v>
      </c>
      <c r="O82" s="2">
        <v>175</v>
      </c>
      <c r="P82" s="2">
        <v>194.6</v>
      </c>
      <c r="Q82" s="2">
        <v>178.3</v>
      </c>
      <c r="R82" s="2">
        <v>171.3</v>
      </c>
      <c r="S82" s="2">
        <v>177.3</v>
      </c>
      <c r="T82" s="2" t="s">
        <v>155</v>
      </c>
      <c r="U82" s="2">
        <v>179.6</v>
      </c>
      <c r="V82" s="2">
        <v>167.4</v>
      </c>
      <c r="W82" s="2">
        <v>176.1</v>
      </c>
      <c r="X82" s="2">
        <v>161.6</v>
      </c>
      <c r="Y82" s="2">
        <v>166.3</v>
      </c>
      <c r="Z82" s="2">
        <v>171.4</v>
      </c>
      <c r="AA82" s="2">
        <v>169.7</v>
      </c>
      <c r="AB82" s="2">
        <v>168.4</v>
      </c>
      <c r="AC82" s="2">
        <v>173.4</v>
      </c>
    </row>
    <row r="83" spans="1:29" ht="15.5" x14ac:dyDescent="0.35">
      <c r="A83" s="37">
        <v>44774</v>
      </c>
      <c r="B83" s="36">
        <v>97.404465428571427</v>
      </c>
      <c r="C83" s="2">
        <v>160.30000000000001</v>
      </c>
      <c r="D83" s="2">
        <v>206.5</v>
      </c>
      <c r="E83" s="2">
        <v>169.2</v>
      </c>
      <c r="F83" s="2">
        <v>168.1</v>
      </c>
      <c r="G83" s="2">
        <v>192.4</v>
      </c>
      <c r="H83" s="2">
        <v>172.9</v>
      </c>
      <c r="I83" s="2">
        <v>186.7</v>
      </c>
      <c r="J83" s="2">
        <v>167.2</v>
      </c>
      <c r="K83" s="2">
        <v>120.9</v>
      </c>
      <c r="L83" s="2">
        <v>193.6</v>
      </c>
      <c r="M83" s="2">
        <v>168.8</v>
      </c>
      <c r="N83" s="2">
        <v>186.3</v>
      </c>
      <c r="O83" s="2">
        <v>176.3</v>
      </c>
      <c r="P83" s="2">
        <v>195</v>
      </c>
      <c r="Q83" s="2">
        <v>179.5</v>
      </c>
      <c r="R83" s="2">
        <v>172.7</v>
      </c>
      <c r="S83" s="2">
        <v>178.5</v>
      </c>
      <c r="T83" s="2" t="s">
        <v>156</v>
      </c>
      <c r="U83" s="2">
        <v>178.8</v>
      </c>
      <c r="V83" s="2">
        <v>168.5</v>
      </c>
      <c r="W83" s="2">
        <v>176.8</v>
      </c>
      <c r="X83" s="2">
        <v>161.9</v>
      </c>
      <c r="Y83" s="2">
        <v>166.9</v>
      </c>
      <c r="Z83" s="2">
        <v>172.3</v>
      </c>
      <c r="AA83" s="2">
        <v>171.2</v>
      </c>
      <c r="AB83" s="2">
        <v>169.1</v>
      </c>
      <c r="AC83" s="2">
        <v>174.3</v>
      </c>
    </row>
    <row r="84" spans="1:29" ht="15.5" x14ac:dyDescent="0.35">
      <c r="A84" s="37">
        <v>44805</v>
      </c>
      <c r="B84" s="36">
        <v>90.706344809523813</v>
      </c>
      <c r="C84" s="2">
        <v>163.5</v>
      </c>
      <c r="D84" s="2">
        <v>209.2</v>
      </c>
      <c r="E84" s="2">
        <v>169.7</v>
      </c>
      <c r="F84" s="2">
        <v>169.7</v>
      </c>
      <c r="G84" s="2">
        <v>188.7</v>
      </c>
      <c r="H84" s="2">
        <v>165.7</v>
      </c>
      <c r="I84" s="2">
        <v>191.8</v>
      </c>
      <c r="J84" s="2">
        <v>169.1</v>
      </c>
      <c r="K84" s="2">
        <v>121.6</v>
      </c>
      <c r="L84" s="2">
        <v>197.3</v>
      </c>
      <c r="M84" s="2">
        <v>169.4</v>
      </c>
      <c r="N84" s="2">
        <v>187.4</v>
      </c>
      <c r="O84" s="2">
        <v>177.8</v>
      </c>
      <c r="P84" s="2">
        <v>195.9</v>
      </c>
      <c r="Q84" s="2">
        <v>180.9</v>
      </c>
      <c r="R84" s="2">
        <v>174.3</v>
      </c>
      <c r="S84" s="2">
        <v>179.9</v>
      </c>
      <c r="T84" s="2" t="s">
        <v>157</v>
      </c>
      <c r="U84" s="2">
        <v>179.5</v>
      </c>
      <c r="V84" s="2">
        <v>169.5</v>
      </c>
      <c r="W84" s="2">
        <v>177.8</v>
      </c>
      <c r="X84" s="2">
        <v>162.30000000000001</v>
      </c>
      <c r="Y84" s="2">
        <v>167.6</v>
      </c>
      <c r="Z84" s="2">
        <v>173.1</v>
      </c>
      <c r="AA84" s="2">
        <v>170.9</v>
      </c>
      <c r="AB84" s="2">
        <v>169.7</v>
      </c>
      <c r="AC84" s="2">
        <v>175.3</v>
      </c>
    </row>
    <row r="85" spans="1:29" ht="15.5" x14ac:dyDescent="0.35">
      <c r="A85" s="37">
        <v>44835</v>
      </c>
      <c r="B85" s="36">
        <v>91.698948700000003</v>
      </c>
      <c r="C85" s="2">
        <v>165.2</v>
      </c>
      <c r="D85" s="2">
        <v>210.9</v>
      </c>
      <c r="E85" s="2">
        <v>170.9</v>
      </c>
      <c r="F85" s="2">
        <v>170.9</v>
      </c>
      <c r="G85" s="2">
        <v>186.5</v>
      </c>
      <c r="H85" s="2">
        <v>163.80000000000001</v>
      </c>
      <c r="I85" s="2">
        <v>199.7</v>
      </c>
      <c r="J85" s="2">
        <v>169.8</v>
      </c>
      <c r="K85" s="2">
        <v>121.9</v>
      </c>
      <c r="L85" s="2">
        <v>199.9</v>
      </c>
      <c r="M85" s="2">
        <v>169.9</v>
      </c>
      <c r="N85" s="2">
        <v>188.3</v>
      </c>
      <c r="O85" s="2">
        <v>179.6</v>
      </c>
      <c r="P85" s="2">
        <v>196.3</v>
      </c>
      <c r="Q85" s="2">
        <v>181.9</v>
      </c>
      <c r="R85" s="2">
        <v>175.3</v>
      </c>
      <c r="S85" s="2">
        <v>181</v>
      </c>
      <c r="T85" s="2" t="s">
        <v>158</v>
      </c>
      <c r="U85" s="2">
        <v>180.5</v>
      </c>
      <c r="V85" s="2">
        <v>170.4</v>
      </c>
      <c r="W85" s="2">
        <v>178.7</v>
      </c>
      <c r="X85" s="2">
        <v>162.9</v>
      </c>
      <c r="Y85" s="2">
        <v>168.2</v>
      </c>
      <c r="Z85" s="2">
        <v>173.4</v>
      </c>
      <c r="AA85" s="2">
        <v>172.1</v>
      </c>
      <c r="AB85" s="2">
        <v>170.5</v>
      </c>
      <c r="AC85" s="2">
        <v>176.7</v>
      </c>
    </row>
    <row r="86" spans="1:29" ht="15.5" x14ac:dyDescent="0.35">
      <c r="A86" s="37">
        <v>44866</v>
      </c>
      <c r="B86" s="36">
        <v>87.552266068181822</v>
      </c>
      <c r="C86" s="2">
        <v>167.4</v>
      </c>
      <c r="D86" s="2">
        <v>209.4</v>
      </c>
      <c r="E86" s="2">
        <v>181.4</v>
      </c>
      <c r="F86" s="2">
        <v>172.3</v>
      </c>
      <c r="G86" s="2">
        <v>188.9</v>
      </c>
      <c r="H86" s="2">
        <v>160.69999999999999</v>
      </c>
      <c r="I86" s="2">
        <v>183.1</v>
      </c>
      <c r="J86" s="2">
        <v>170.5</v>
      </c>
      <c r="K86" s="2">
        <v>122.1</v>
      </c>
      <c r="L86" s="2">
        <v>202.8</v>
      </c>
      <c r="M86" s="2">
        <v>170.4</v>
      </c>
      <c r="N86" s="2">
        <v>189.5</v>
      </c>
      <c r="O86" s="2">
        <v>178.3</v>
      </c>
      <c r="P86" s="2">
        <v>196.9</v>
      </c>
      <c r="Q86" s="2">
        <v>183.1</v>
      </c>
      <c r="R86" s="2">
        <v>176.2</v>
      </c>
      <c r="S86" s="2">
        <v>182.1</v>
      </c>
      <c r="T86" s="2" t="s">
        <v>159</v>
      </c>
      <c r="U86" s="2">
        <v>181.3</v>
      </c>
      <c r="V86" s="2">
        <v>171.4</v>
      </c>
      <c r="W86" s="2">
        <v>179.8</v>
      </c>
      <c r="X86" s="2">
        <v>163</v>
      </c>
      <c r="Y86" s="2">
        <v>168.5</v>
      </c>
      <c r="Z86" s="2">
        <v>173.7</v>
      </c>
      <c r="AA86" s="2">
        <v>173.6</v>
      </c>
      <c r="AB86" s="2">
        <v>171.1</v>
      </c>
      <c r="AC86" s="2">
        <v>176.5</v>
      </c>
    </row>
    <row r="87" spans="1:29" ht="15.5" x14ac:dyDescent="0.35">
      <c r="A87" s="37">
        <v>44896</v>
      </c>
      <c r="B87" s="36">
        <v>78.100942275000008</v>
      </c>
      <c r="C87" s="2">
        <v>169.2</v>
      </c>
      <c r="D87" s="2">
        <v>209</v>
      </c>
      <c r="E87" s="2">
        <v>190.2</v>
      </c>
      <c r="F87" s="2">
        <v>173.6</v>
      </c>
      <c r="G87" s="2">
        <v>188.5</v>
      </c>
      <c r="H87" s="2">
        <v>158</v>
      </c>
      <c r="I87" s="2">
        <v>159.9</v>
      </c>
      <c r="J87" s="2">
        <v>170.8</v>
      </c>
      <c r="K87" s="2">
        <v>121.8</v>
      </c>
      <c r="L87" s="2">
        <v>205.2</v>
      </c>
      <c r="M87" s="2">
        <v>171</v>
      </c>
      <c r="N87" s="2">
        <v>190.3</v>
      </c>
      <c r="O87" s="2">
        <v>175.9</v>
      </c>
      <c r="P87" s="2">
        <v>197.3</v>
      </c>
      <c r="Q87" s="2">
        <v>184</v>
      </c>
      <c r="R87" s="2">
        <v>177</v>
      </c>
      <c r="S87" s="2">
        <v>183</v>
      </c>
      <c r="T87" s="2" t="s">
        <v>160</v>
      </c>
      <c r="U87" s="2">
        <v>182</v>
      </c>
      <c r="V87" s="2">
        <v>172.1</v>
      </c>
      <c r="W87" s="2">
        <v>181.1</v>
      </c>
      <c r="X87" s="2">
        <v>163.4</v>
      </c>
      <c r="Y87" s="2">
        <v>168.9</v>
      </c>
      <c r="Z87" s="2">
        <v>174.1</v>
      </c>
      <c r="AA87" s="2">
        <v>175.8</v>
      </c>
      <c r="AB87" s="2">
        <v>172</v>
      </c>
      <c r="AC87" s="2">
        <v>175.7</v>
      </c>
    </row>
    <row r="89" spans="1:29" x14ac:dyDescent="0.35">
      <c r="A89" s="4" t="s">
        <v>268</v>
      </c>
    </row>
    <row r="90" spans="1:29" x14ac:dyDescent="0.35">
      <c r="A90" s="4" t="s">
        <v>269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55C094-8E92-42F6-8C7C-26CAD65FB5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All_India_Index_Upto_April23_RA</vt:lpstr>
      <vt:lpstr>Raw Data</vt:lpstr>
      <vt:lpstr>Notes</vt:lpstr>
      <vt:lpstr>PS1</vt:lpstr>
      <vt:lpstr>PS2</vt:lpstr>
      <vt:lpstr>PS3</vt:lpstr>
      <vt:lpstr>PS4</vt:lpstr>
      <vt:lpstr>PS5</vt:lpstr>
      <vt:lpstr>PS5.2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Yugadhi</dc:creator>
  <cp:lastModifiedBy>Yugadhi Singh</cp:lastModifiedBy>
  <dcterms:created xsi:type="dcterms:W3CDTF">2015-06-05T18:17:20Z</dcterms:created>
  <dcterms:modified xsi:type="dcterms:W3CDTF">2025-09-04T07:23:46Z</dcterms:modified>
</cp:coreProperties>
</file>